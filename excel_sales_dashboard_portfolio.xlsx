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8e091366b849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46578a37bbbf4c7b"/>
    <x:sheet xmlns:r="http://schemas.openxmlformats.org/officeDocument/2006/relationships" name="Dashboard" sheetId="2" r:id="Rddd95cef4a114948"/>
    <x:sheet xmlns:r="http://schemas.openxmlformats.org/officeDocument/2006/relationships" name="Summary" sheetId="3" r:id="Rf13280a688f9454b"/>
    <x:sheet xmlns:r="http://schemas.openxmlformats.org/officeDocument/2006/relationships" name="Guide" sheetId="4" r:id="Reea0676fb30f4e4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dd-mmm-yyyy"/>
    <x:numFmt numFmtId="201" formatCode="$#,##0.00"/>
    <x:numFmt numFmtId="202" formatCode="0%"/>
    <x:numFmt numFmtId="203" formatCode="0.0%"/>
    <x:numFmt numFmtId="204" formatCode="mmm"/>
    <x:numFmt numFmtId="205" formatCode="$#,##0"/>
    <x:numFmt numFmtId="206" formatCode="0"/>
  </x:numFmts>
  <x:fonts count="8">
    <x:font>
      <x:sz val="11"/>
      <x:name val="Carlito"/>
    </x:font>
    <x:font>
      <x:b/>
      <x:sz val="11"/>
      <x:color rgb="FFFFFFFF"/>
      <x:name val="Carlito"/>
    </x:font>
    <x:font>
      <x:b/>
      <x:sz val="22"/>
      <x:color rgb="FFFFFFFF"/>
      <x:name val="Carlito"/>
    </x:font>
    <x:font>
      <x:i/>
      <x:sz val="11"/>
      <x:color rgb="FF17365D"/>
      <x:name val="Carlito"/>
    </x:font>
    <x:font>
      <x:b/>
      <x:sz val="10"/>
      <x:color rgb="FFFFFFFF"/>
      <x:name val="Carlito"/>
    </x:font>
    <x:font>
      <x:b/>
      <x:sz val="20"/>
      <x:color rgb="FF17365D"/>
      <x:name val="Carlito"/>
    </x:font>
    <x:font>
      <x:sz val="11"/>
      <x:color rgb="FF333333"/>
      <x:name val="Carlito"/>
    </x:font>
    <x:font>
      <x:b/>
      <x:sz val="18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B1F33"/>
      </x:patternFill>
    </x:fill>
    <x:fill>
      <x:patternFill patternType="solid">
        <x:fgColor rgb="FFEAF2F8"/>
      </x:patternFill>
    </x:fill>
    <x:fill>
      <x:patternFill patternType="solid">
        <x:fgColor rgb="FFF7F9FB"/>
      </x:patternFill>
    </x:fill>
  </x:fills>
  <x:borders count="18">
    <x:border/>
    <x:border/>
    <x:border>
      <x:left style="thin">
        <x:color rgb="FFC9D4DF"/>
      </x:left>
      <x:top style="thin">
        <x:color rgb="FFC9D4DF"/>
      </x:top>
    </x:border>
    <x:border>
      <x:top style="thin">
        <x:color rgb="FFC9D4DF"/>
      </x:top>
    </x:border>
    <x:border>
      <x:right style="thin">
        <x:color rgb="FFC9D4DF"/>
      </x:right>
      <x:top style="thin">
        <x:color rgb="FFC9D4DF"/>
      </x:top>
    </x:border>
    <x:border>
      <x:left style="thin">
        <x:color rgb="FFC9D4DF"/>
      </x:left>
    </x:border>
    <x:border>
      <x:right style="thin">
        <x:color rgb="FFC9D4DF"/>
      </x:right>
    </x:border>
    <x:border>
      <x:left style="thin">
        <x:color rgb="FFC9D4DF"/>
      </x:left>
      <x:bottom style="thin">
        <x:color rgb="FFC9D4DF"/>
      </x:bottom>
    </x:border>
    <x:border>
      <x:bottom style="thin">
        <x:color rgb="FFC9D4DF"/>
      </x:bottom>
    </x:border>
    <x:border>
      <x:right style="thin">
        <x:color rgb="FFC9D4DF"/>
      </x:right>
      <x:bottom style="thin">
        <x:color rgb="FFC9D4DF"/>
      </x:bottom>
    </x:border>
    <x:border>
      <x:left style="thin">
        <x:color rgb="FFC9D4DF"/>
      </x:left>
      <x:top style="thin">
        <x:color rgb="FFC9D4DF"/>
      </x:top>
    </x:border>
    <x:border>
      <x:top style="thin">
        <x:color rgb="FFC9D4DF"/>
      </x:top>
    </x:border>
    <x:border>
      <x:right style="thin">
        <x:color rgb="FFC9D4DF"/>
      </x:right>
      <x:top style="thin">
        <x:color rgb="FFC9D4DF"/>
      </x:top>
    </x:border>
    <x:border>
      <x:left style="thin">
        <x:color rgb="FFC9D4DF"/>
      </x:left>
    </x:border>
    <x:border>
      <x:right style="thin">
        <x:color rgb="FFC9D4DF"/>
      </x:right>
    </x:border>
    <x:border>
      <x:left style="thin">
        <x:color rgb="FFC9D4DF"/>
      </x:left>
      <x:bottom style="thin">
        <x:color rgb="FFC9D4DF"/>
      </x:bottom>
    </x:border>
    <x:border>
      <x:bottom style="thin">
        <x:color rgb="FFC9D4DF"/>
      </x:bottom>
    </x:border>
    <x:border>
      <x:right style="thin">
        <x:color rgb="FFC9D4DF"/>
      </x:right>
      <x:bottom style="thin">
        <x:color rgb="FFC9D4DF"/>
      </x:bottom>
    </x:border>
  </x:borders>
  <x:cellStyleXfs count="1">
    <x:xf numFmtId="0" fontId="0" fillId="0" borderId="0"/>
  </x:cellStyleXfs>
  <x:cellXfs count="18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4" fontId="0" fillId="0" borderId="0" xfId="0" applyNumberFormat="1" applyFont="1" applyFill="1" applyBorder="1"/>
    <x:xf numFmtId="204" fontId="0" fillId="0" borderId="1" xfId="0" applyNumberFormat="1" applyFont="1" applyFill="1" applyBorder="1"/>
    <x:xf numFmtId="205" fontId="0" fillId="0" borderId="0" xfId="0" applyNumberFormat="1" applyFont="1" applyFill="1" applyBorder="1"/>
    <x:xf numFmtId="205" fontId="0" fillId="0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 applyAlignment="1">
      <x:alignment horizontal="center" vertical="center"/>
    </x:xf>
    <x:xf numFmtId="205" fontId="0" fillId="5" borderId="0" xfId="0" applyNumberFormat="1" applyFont="1" applyFill="1" applyBorder="1"/>
    <x:xf numFmtId="0" fontId="0" fillId="5" borderId="0" xfId="0" applyNumberFormat="1" applyFont="1" applyFill="1" applyBorder="1"/>
    <x:xf numFmtId="205" fontId="5" fillId="5" borderId="0" xfId="0" applyNumberFormat="1" applyFont="1" applyFill="1" applyBorder="1"/>
    <x:xf numFmtId="0" fontId="5" fillId="5" borderId="0" xfId="0" applyNumberFormat="1" applyFont="1" applyFill="1" applyBorder="1"/>
    <x:xf numFmtId="205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205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205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205" fontId="0" fillId="5" borderId="1" xfId="0" applyNumberFormat="1" applyFont="1" applyFill="1" applyBorder="1"/>
    <x:xf numFmtId="0" fontId="0" fillId="5" borderId="1" xfId="0" applyNumberFormat="1" applyFont="1" applyFill="1" applyBorder="1"/>
    <x:xf numFmtId="205" fontId="5" fillId="5" borderId="1" xfId="0" applyNumberFormat="1" applyFont="1" applyFill="1" applyBorder="1"/>
    <x:xf numFmtId="0" fontId="5" fillId="5" borderId="1" xfId="0" applyNumberFormat="1" applyFont="1" applyFill="1" applyBorder="1"/>
    <x:xf numFmtId="205" fontId="5" fillId="5" borderId="10" xfId="0" applyNumberFormat="1" applyFont="1" applyFill="1" applyBorder="1"/>
    <x:xf numFmtId="0" fontId="5" fillId="5" borderId="11" xfId="0" applyNumberFormat="1" applyFont="1" applyFill="1" applyBorder="1"/>
    <x:xf numFmtId="0" fontId="5" fillId="5" borderId="12" xfId="0" applyNumberFormat="1" applyFont="1" applyFill="1" applyBorder="1"/>
    <x:xf numFmtId="0" fontId="5" fillId="5" borderId="13" xfId="0" applyNumberFormat="1" applyFont="1" applyFill="1" applyBorder="1"/>
    <x:xf numFmtId="0" fontId="5" fillId="5" borderId="14" xfId="0" applyNumberFormat="1" applyFont="1" applyFill="1" applyBorder="1"/>
    <x:xf numFmtId="0" fontId="5" fillId="5" borderId="15" xfId="0" applyNumberFormat="1" applyFont="1" applyFill="1" applyBorder="1"/>
    <x:xf numFmtId="0" fontId="5" fillId="5" borderId="16" xfId="0" applyNumberFormat="1" applyFont="1" applyFill="1" applyBorder="1"/>
    <x:xf numFmtId="0" fontId="5" fillId="5" borderId="17" xfId="0" applyNumberFormat="1" applyFont="1" applyFill="1" applyBorder="1"/>
    <x:xf numFmtId="205" fontId="5" fillId="5" borderId="10" xfId="0" applyNumberFormat="1" applyFont="1" applyFill="1" applyBorder="1" applyAlignment="1">
      <x:alignment horizontal="center"/>
    </x:xf>
    <x:xf numFmtId="0" fontId="5" fillId="5" borderId="11" xfId="0" applyNumberFormat="1" applyFont="1" applyFill="1" applyBorder="1" applyAlignment="1">
      <x:alignment horizontal="center"/>
    </x:xf>
    <x:xf numFmtId="0" fontId="5" fillId="5" borderId="12" xfId="0" applyNumberFormat="1" applyFont="1" applyFill="1" applyBorder="1" applyAlignment="1">
      <x:alignment horizontal="center"/>
    </x:xf>
    <x:xf numFmtId="0" fontId="5" fillId="5" borderId="13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/>
    </x:xf>
    <x:xf numFmtId="0" fontId="5" fillId="5" borderId="14" xfId="0" applyNumberFormat="1" applyFont="1" applyFill="1" applyBorder="1" applyAlignment="1">
      <x:alignment horizontal="center"/>
    </x:xf>
    <x:xf numFmtId="0" fontId="5" fillId="5" borderId="15" xfId="0" applyNumberFormat="1" applyFont="1" applyFill="1" applyBorder="1" applyAlignment="1">
      <x:alignment horizontal="center"/>
    </x:xf>
    <x:xf numFmtId="0" fontId="5" fillId="5" borderId="16" xfId="0" applyNumberFormat="1" applyFont="1" applyFill="1" applyBorder="1" applyAlignment="1">
      <x:alignment horizontal="center"/>
    </x:xf>
    <x:xf numFmtId="0" fontId="5" fillId="5" borderId="17" xfId="0" applyNumberFormat="1" applyFont="1" applyFill="1" applyBorder="1" applyAlignment="1">
      <x:alignment horizontal="center"/>
    </x:xf>
    <x:xf numFmtId="205" fontId="5" fillId="5" borderId="10" xfId="0" applyNumberFormat="1" applyFont="1" applyFill="1" applyBorder="1" applyAlignment="1">
      <x:alignment horizontal="center" vertical="center"/>
    </x:xf>
    <x:xf numFmtId="0" fontId="5" fillId="5" borderId="11" xfId="0" applyNumberFormat="1" applyFont="1" applyFill="1" applyBorder="1" applyAlignment="1">
      <x:alignment horizontal="center" vertical="center"/>
    </x:xf>
    <x:xf numFmtId="0" fontId="5" fillId="5" borderId="12" xfId="0" applyNumberFormat="1" applyFont="1" applyFill="1" applyBorder="1" applyAlignment="1">
      <x:alignment horizontal="center" vertical="center"/>
    </x:xf>
    <x:xf numFmtId="0" fontId="5" fillId="5" borderId="13" xfId="0" applyNumberFormat="1" applyFont="1" applyFill="1" applyBorder="1" applyAlignment="1">
      <x:alignment horizontal="center" vertic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5" fillId="5" borderId="14" xfId="0" applyNumberFormat="1" applyFont="1" applyFill="1" applyBorder="1" applyAlignment="1">
      <x:alignment horizontal="center" vertical="center"/>
    </x:xf>
    <x:xf numFmtId="0" fontId="5" fillId="5" borderId="15" xfId="0" applyNumberFormat="1" applyFont="1" applyFill="1" applyBorder="1" applyAlignment="1">
      <x:alignment horizontal="center" vertical="center"/>
    </x:xf>
    <x:xf numFmtId="0" fontId="5" fillId="5" borderId="16" xfId="0" applyNumberFormat="1" applyFont="1" applyFill="1" applyBorder="1" applyAlignment="1">
      <x:alignment horizontal="center" vertical="center"/>
    </x:xf>
    <x:xf numFmtId="0" fontId="5" fillId="5" borderId="17" xfId="0" applyNumberFormat="1" applyFont="1" applyFill="1" applyBorder="1" applyAlignment="1">
      <x:alignment horizontal="center" vertical="center"/>
    </x:xf>
    <x:xf numFmtId="203" fontId="0" fillId="5" borderId="0" xfId="0" applyNumberFormat="1" applyFont="1" applyFill="1" applyBorder="1"/>
    <x:xf numFmtId="203" fontId="5" fillId="5" borderId="0" xfId="0" applyNumberFormat="1" applyFont="1" applyFill="1" applyBorder="1"/>
    <x:xf numFmtId="203" fontId="5" fillId="5" borderId="2" xfId="0" applyNumberFormat="1" applyFont="1" applyFill="1" applyBorder="1"/>
    <x:xf numFmtId="203" fontId="5" fillId="5" borderId="2" xfId="0" applyNumberFormat="1" applyFont="1" applyFill="1" applyBorder="1" applyAlignment="1">
      <x:alignment horizontal="center"/>
    </x:xf>
    <x:xf numFmtId="203" fontId="5" fillId="5" borderId="2" xfId="0" applyNumberFormat="1" applyFont="1" applyFill="1" applyBorder="1" applyAlignment="1">
      <x:alignment horizontal="center" vertical="center"/>
    </x:xf>
    <x:xf numFmtId="203" fontId="0" fillId="5" borderId="1" xfId="0" applyNumberFormat="1" applyFont="1" applyFill="1" applyBorder="1"/>
    <x:xf numFmtId="203" fontId="5" fillId="5" borderId="1" xfId="0" applyNumberFormat="1" applyFont="1" applyFill="1" applyBorder="1"/>
    <x:xf numFmtId="203" fontId="5" fillId="5" borderId="10" xfId="0" applyNumberFormat="1" applyFont="1" applyFill="1" applyBorder="1"/>
    <x:xf numFmtId="203" fontId="5" fillId="5" borderId="10" xfId="0" applyNumberFormat="1" applyFont="1" applyFill="1" applyBorder="1" applyAlignment="1">
      <x:alignment horizontal="center"/>
    </x:xf>
    <x:xf numFmtId="203" fontId="5" fillId="5" borderId="10" xfId="0" applyNumberFormat="1" applyFont="1" applyFill="1" applyBorder="1" applyAlignment="1">
      <x:alignment horizontal="center" vertical="center"/>
    </x:xf>
    <x:xf numFmtId="206" fontId="0" fillId="0" borderId="0" xfId="0" applyNumberFormat="1" applyFont="1" applyFill="1" applyBorder="1"/>
    <x:xf numFmtId="206" fontId="0" fillId="0" borderId="1" xfId="0" applyNumberFormat="1" applyFont="1" applyFill="1" applyBorder="1"/>
    <x:xf numFmtId="206" fontId="0" fillId="5" borderId="0" xfId="0" applyNumberFormat="1" applyFont="1" applyFill="1" applyBorder="1"/>
    <x:xf numFmtId="206" fontId="5" fillId="5" borderId="0" xfId="0" applyNumberFormat="1" applyFont="1" applyFill="1" applyBorder="1"/>
    <x:xf numFmtId="206" fontId="5" fillId="5" borderId="2" xfId="0" applyNumberFormat="1" applyFont="1" applyFill="1" applyBorder="1"/>
    <x:xf numFmtId="206" fontId="5" fillId="5" borderId="2" xfId="0" applyNumberFormat="1" applyFont="1" applyFill="1" applyBorder="1" applyAlignment="1">
      <x:alignment horizontal="center"/>
    </x:xf>
    <x:xf numFmtId="206" fontId="5" fillId="5" borderId="2" xfId="0" applyNumberFormat="1" applyFont="1" applyFill="1" applyBorder="1" applyAlignment="1">
      <x:alignment horizontal="center" vertical="center"/>
    </x:xf>
    <x:xf numFmtId="206" fontId="0" fillId="5" borderId="1" xfId="0" applyNumberFormat="1" applyFont="1" applyFill="1" applyBorder="1"/>
    <x:xf numFmtId="206" fontId="5" fillId="5" borderId="1" xfId="0" applyNumberFormat="1" applyFont="1" applyFill="1" applyBorder="1"/>
    <x:xf numFmtId="206" fontId="5" fillId="5" borderId="10" xfId="0" applyNumberFormat="1" applyFont="1" applyFill="1" applyBorder="1"/>
    <x:xf numFmtId="206" fontId="5" fillId="5" borderId="10" xfId="0" applyNumberFormat="1" applyFont="1" applyFill="1" applyBorder="1" applyAlignment="1">
      <x:alignment horizontal="center"/>
    </x:xf>
    <x:xf numFmtId="206" fontId="5" fillId="5" borderId="10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2" xfId="0" applyNumberFormat="1" applyFont="1" applyFill="1" applyBorder="1"/>
    <x:xf numFmtId="0" fontId="6" fillId="5" borderId="3" xfId="0" applyNumberFormat="1" applyFont="1" applyFill="1" applyBorder="1"/>
    <x:xf numFmtId="0" fontId="6" fillId="5" borderId="4" xfId="0" applyNumberFormat="1" applyFont="1" applyFill="1" applyBorder="1"/>
    <x:xf numFmtId="0" fontId="6" fillId="5" borderId="5" xfId="0" applyNumberFormat="1" applyFont="1" applyFill="1" applyBorder="1"/>
    <x:xf numFmtId="0" fontId="6" fillId="5" borderId="6" xfId="0" applyNumberFormat="1" applyFont="1" applyFill="1" applyBorder="1"/>
    <x:xf numFmtId="0" fontId="6" fillId="5" borderId="7" xfId="0" applyNumberFormat="1" applyFont="1" applyFill="1" applyBorder="1"/>
    <x:xf numFmtId="0" fontId="6" fillId="5" borderId="8" xfId="0" applyNumberFormat="1" applyFont="1" applyFill="1" applyBorder="1"/>
    <x:xf numFmtId="0" fontId="6" fillId="5" borderId="9" xfId="0" applyNumberFormat="1" applyFont="1" applyFill="1" applyBorder="1"/>
    <x:xf numFmtId="0" fontId="6" fillId="5" borderId="2" xfId="0" applyNumberFormat="1" applyFont="1" applyFill="1" applyBorder="1" applyAlignment="1">
      <x:alignment wrapText="1"/>
    </x:xf>
    <x:xf numFmtId="0" fontId="6" fillId="5" borderId="3" xfId="0" applyNumberFormat="1" applyFont="1" applyFill="1" applyBorder="1" applyAlignment="1">
      <x:alignment wrapText="1"/>
    </x:xf>
    <x:xf numFmtId="0" fontId="6" fillId="5" borderId="4" xfId="0" applyNumberFormat="1" applyFont="1" applyFill="1" applyBorder="1" applyAlignment="1">
      <x:alignment wrapText="1"/>
    </x:xf>
    <x:xf numFmtId="0" fontId="6" fillId="5" borderId="5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wrapText="1"/>
    </x:xf>
    <x:xf numFmtId="0" fontId="6" fillId="5" borderId="6" xfId="0" applyNumberFormat="1" applyFont="1" applyFill="1" applyBorder="1" applyAlignment="1">
      <x:alignment wrapText="1"/>
    </x:xf>
    <x:xf numFmtId="0" fontId="6" fillId="5" borderId="7" xfId="0" applyNumberFormat="1" applyFont="1" applyFill="1" applyBorder="1" applyAlignment="1">
      <x:alignment wrapText="1"/>
    </x:xf>
    <x:xf numFmtId="0" fontId="6" fillId="5" borderId="8" xfId="0" applyNumberFormat="1" applyFont="1" applyFill="1" applyBorder="1" applyAlignment="1">
      <x:alignment wrapText="1"/>
    </x:xf>
    <x:xf numFmtId="0" fontId="6" fillId="5" borderId="9" xfId="0" applyNumberFormat="1" applyFont="1" applyFill="1" applyBorder="1" applyAlignment="1">
      <x:alignment wrapText="1"/>
    </x:xf>
    <x:xf numFmtId="0" fontId="6" fillId="5" borderId="2" xfId="0" applyNumberFormat="1" applyFont="1" applyFill="1" applyBorder="1" applyAlignment="1">
      <x:alignment vertical="top" wrapText="1"/>
    </x:xf>
    <x:xf numFmtId="0" fontId="6" fillId="5" borderId="3" xfId="0" applyNumberFormat="1" applyFont="1" applyFill="1" applyBorder="1" applyAlignment="1">
      <x:alignment vertical="top" wrapText="1"/>
    </x:xf>
    <x:xf numFmtId="0" fontId="6" fillId="5" borderId="4" xfId="0" applyNumberFormat="1" applyFont="1" applyFill="1" applyBorder="1" applyAlignment="1">
      <x:alignment vertical="top" wrapText="1"/>
    </x:xf>
    <x:xf numFmtId="0" fontId="6" fillId="5" borderId="5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vertical="top" wrapText="1"/>
    </x:xf>
    <x:xf numFmtId="0" fontId="6" fillId="5" borderId="6" xfId="0" applyNumberFormat="1" applyFont="1" applyFill="1" applyBorder="1" applyAlignment="1">
      <x:alignment vertical="top" wrapText="1"/>
    </x:xf>
    <x:xf numFmtId="0" fontId="6" fillId="5" borderId="7" xfId="0" applyNumberFormat="1" applyFont="1" applyFill="1" applyBorder="1" applyAlignment="1">
      <x:alignment vertical="top" wrapText="1"/>
    </x:xf>
    <x:xf numFmtId="0" fontId="6" fillId="5" borderId="8" xfId="0" applyNumberFormat="1" applyFont="1" applyFill="1" applyBorder="1" applyAlignment="1">
      <x:alignment vertical="top" wrapText="1"/>
    </x:xf>
    <x:xf numFmtId="0" fontId="6" fillId="5" borderId="9" xfId="0" applyNumberFormat="1" applyFont="1" applyFill="1" applyBorder="1" applyAlignment="1">
      <x:alignment vertical="top" wrapText="1"/>
    </x:xf>
    <x:xf numFmtId="0" fontId="6" fillId="5" borderId="1" xfId="0" applyNumberFormat="1" applyFont="1" applyFill="1" applyBorder="1"/>
    <x:xf numFmtId="0" fontId="6" fillId="5" borderId="10" xfId="0" applyNumberFormat="1" applyFont="1" applyFill="1" applyBorder="1"/>
    <x:xf numFmtId="0" fontId="6" fillId="5" borderId="11" xfId="0" applyNumberFormat="1" applyFont="1" applyFill="1" applyBorder="1"/>
    <x:xf numFmtId="0" fontId="6" fillId="5" borderId="12" xfId="0" applyNumberFormat="1" applyFont="1" applyFill="1" applyBorder="1"/>
    <x:xf numFmtId="0" fontId="6" fillId="5" borderId="13" xfId="0" applyNumberFormat="1" applyFont="1" applyFill="1" applyBorder="1"/>
    <x:xf numFmtId="0" fontId="6" fillId="5" borderId="14" xfId="0" applyNumberFormat="1" applyFont="1" applyFill="1" applyBorder="1"/>
    <x:xf numFmtId="0" fontId="6" fillId="5" borderId="15" xfId="0" applyNumberFormat="1" applyFont="1" applyFill="1" applyBorder="1"/>
    <x:xf numFmtId="0" fontId="6" fillId="5" borderId="16" xfId="0" applyNumberFormat="1" applyFont="1" applyFill="1" applyBorder="1"/>
    <x:xf numFmtId="0" fontId="6" fillId="5" borderId="17" xfId="0" applyNumberFormat="1" applyFont="1" applyFill="1" applyBorder="1"/>
    <x:xf numFmtId="0" fontId="6" fillId="5" borderId="10" xfId="0" applyNumberFormat="1" applyFont="1" applyFill="1" applyBorder="1" applyAlignment="1">
      <x:alignment wrapText="1"/>
    </x:xf>
    <x:xf numFmtId="0" fontId="6" fillId="5" borderId="11" xfId="0" applyNumberFormat="1" applyFont="1" applyFill="1" applyBorder="1" applyAlignment="1">
      <x:alignment wrapText="1"/>
    </x:xf>
    <x:xf numFmtId="0" fontId="6" fillId="5" borderId="12" xfId="0" applyNumberFormat="1" applyFont="1" applyFill="1" applyBorder="1" applyAlignment="1">
      <x:alignment wrapText="1"/>
    </x:xf>
    <x:xf numFmtId="0" fontId="6" fillId="5" borderId="13" xfId="0" applyNumberFormat="1" applyFont="1" applyFill="1" applyBorder="1" applyAlignment="1">
      <x:alignment wrapText="1"/>
    </x:xf>
    <x:xf numFmtId="0" fontId="6" fillId="5" borderId="1" xfId="0" applyNumberFormat="1" applyFont="1" applyFill="1" applyBorder="1" applyAlignment="1">
      <x:alignment wrapText="1"/>
    </x:xf>
    <x:xf numFmtId="0" fontId="6" fillId="5" borderId="14" xfId="0" applyNumberFormat="1" applyFont="1" applyFill="1" applyBorder="1" applyAlignment="1">
      <x:alignment wrapText="1"/>
    </x:xf>
    <x:xf numFmtId="0" fontId="6" fillId="5" borderId="15" xfId="0" applyNumberFormat="1" applyFont="1" applyFill="1" applyBorder="1" applyAlignment="1">
      <x:alignment wrapText="1"/>
    </x:xf>
    <x:xf numFmtId="0" fontId="6" fillId="5" borderId="16" xfId="0" applyNumberFormat="1" applyFont="1" applyFill="1" applyBorder="1" applyAlignment="1">
      <x:alignment wrapText="1"/>
    </x:xf>
    <x:xf numFmtId="0" fontId="6" fillId="5" borderId="17" xfId="0" applyNumberFormat="1" applyFont="1" applyFill="1" applyBorder="1" applyAlignment="1">
      <x:alignment wrapText="1"/>
    </x:xf>
    <x:xf numFmtId="0" fontId="6" fillId="5" borderId="10" xfId="0" applyNumberFormat="1" applyFont="1" applyFill="1" applyBorder="1" applyAlignment="1">
      <x:alignment vertical="top" wrapText="1"/>
    </x:xf>
    <x:xf numFmtId="0" fontId="6" fillId="5" borderId="11" xfId="0" applyNumberFormat="1" applyFont="1" applyFill="1" applyBorder="1" applyAlignment="1">
      <x:alignment vertical="top" wrapText="1"/>
    </x:xf>
    <x:xf numFmtId="0" fontId="6" fillId="5" borderId="12" xfId="0" applyNumberFormat="1" applyFont="1" applyFill="1" applyBorder="1" applyAlignment="1">
      <x:alignment vertical="top" wrapText="1"/>
    </x:xf>
    <x:xf numFmtId="0" fontId="6" fillId="5" borderId="13" xfId="0" applyNumberFormat="1" applyFont="1" applyFill="1" applyBorder="1" applyAlignment="1">
      <x:alignment vertical="top" wrapText="1"/>
    </x:xf>
    <x:xf numFmtId="0" fontId="6" fillId="5" borderId="1" xfId="0" applyNumberFormat="1" applyFont="1" applyFill="1" applyBorder="1" applyAlignment="1">
      <x:alignment vertical="top" wrapText="1"/>
    </x:xf>
    <x:xf numFmtId="0" fontId="6" fillId="5" borderId="14" xfId="0" applyNumberFormat="1" applyFont="1" applyFill="1" applyBorder="1" applyAlignment="1">
      <x:alignment vertical="top" wrapText="1"/>
    </x:xf>
    <x:xf numFmtId="0" fontId="6" fillId="5" borderId="15" xfId="0" applyNumberFormat="1" applyFont="1" applyFill="1" applyBorder="1" applyAlignment="1">
      <x:alignment vertical="top" wrapText="1"/>
    </x:xf>
    <x:xf numFmtId="0" fontId="6" fillId="5" borderId="16" xfId="0" applyNumberFormat="1" applyFont="1" applyFill="1" applyBorder="1" applyAlignment="1">
      <x:alignment vertical="top" wrapText="1"/>
    </x:xf>
    <x:xf numFmtId="0" fontId="6" fillId="5" borderId="17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horizontal="center"/>
    </x:xf>
    <x:xf numFmtId="0" fontId="7" fillId="3" borderId="0" xfId="0" applyNumberFormat="1" applyFont="1" applyFill="1" applyBorder="1" applyAlignment="1">
      <x:alignment horizontal="center" vertical="center"/>
    </x:xf>
    <x:xf numFmtId="0" fontId="7" fillId="3" borderId="1" xfId="0" applyNumberFormat="1" applyFont="1" applyFill="1" applyBorder="1"/>
    <x:xf numFmtId="0" fontId="7" fillId="3" borderId="1" xfId="0" applyNumberFormat="1" applyFont="1" applyFill="1" applyBorder="1" applyAlignment="1">
      <x:alignment horizontal="center"/>
    </x:xf>
    <x:xf numFmtId="0" fontId="7" fillId="3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c5576dfd794131" /><Relationship Type="http://schemas.openxmlformats.org/officeDocument/2006/relationships/theme" Target="/xl/theme/theme1.xml" Id="R7692506a0e574d43" /><Relationship Type="http://schemas.openxmlformats.org/officeDocument/2006/relationships/sharedStrings" Target="/xl/sharedStrings.xml" Id="Rf275e89615354d86" /><Relationship Type="http://schemas.openxmlformats.org/officeDocument/2006/relationships/worksheet" Target="/xl/worksheets/sheet1.xml" Id="R46578a37bbbf4c7b" /><Relationship Type="http://schemas.openxmlformats.org/officeDocument/2006/relationships/worksheet" Target="/xl/worksheets/sheet2.xml" Id="Rddd95cef4a114948" /><Relationship Type="http://schemas.openxmlformats.org/officeDocument/2006/relationships/worksheet" Target="/xl/worksheets/sheet3.xml" Id="Rf13280a688f9454b" /><Relationship Type="http://schemas.openxmlformats.org/officeDocument/2006/relationships/worksheet" Target="/xl/worksheets/sheet4.xml" Id="Reea0676fb30f4e4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bf5da5c76fd4549" /><Relationship Type="http://schemas.openxmlformats.org/officeDocument/2006/relationships/chart" Target="/xl/drawings/charts/chart2.xml" Id="R520c01883c1248ea" /><Relationship Type="http://schemas.openxmlformats.org/officeDocument/2006/relationships/chart" Target="/xl/drawings/charts/chart3.xml" Id="R495e953a461f4b2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Monthly Revenue &amp; Profit</a:t>
            </a:r>
          </a:p>
        </c:rich>
      </c:tx>
    </c:title>
    <c:plotArea>
      <c:lineChart>
        <c:grouping val="standard"/>
        <c:ser>
          <c:idx val="0"/>
          <c:order val="0"/>
          <c:tx>
            <c:v>Revenue</c:v>
          </c:tx>
          <c:marker>
            <c:symbol val="none"/>
          </c:marker>
          <c:cat>
            <c:strRef>
              <c:f>'Summary'!$A$2:$A$9</c:f>
              <c:strCache>
                <c:ptCount val="0"/>
              </c:strCache>
            </c:strRef>
          </c:cat>
          <c:val>
            <c:numRef>
              <c:f>'Summary'!$B$2:$B$9</c:f>
              <c:numCache>
                <c:formatCode>$#,##0</c:formatCode>
                <c:ptCount val="0"/>
              </c:numCache>
            </c:numRef>
          </c:val>
        </c:ser>
        <c:ser>
          <c:idx val="1"/>
          <c:order val="1"/>
          <c:tx>
            <c:v>Profit</c:v>
          </c:tx>
          <c:marker>
            <c:symbol val="none"/>
          </c:marker>
          <c:cat>
            <c:strRef>
              <c:f>'Summary'!$A$2:$A$9</c:f>
              <c:strCache>
                <c:ptCount val="0"/>
              </c:strCache>
            </c:strRef>
          </c:cat>
          <c:val>
            <c:numRef>
              <c:f>'Summary'!$C$2:$C$9</c:f>
              <c:numCache>
                <c:formatCode>$#,##0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Performance by Category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Revenue</c:v>
          </c:tx>
          <c:cat>
            <c:strRef>
              <c:f>'Summary'!$E$2:$E$5</c:f>
              <c:strCache>
                <c:ptCount val="0"/>
              </c:strCache>
            </c:strRef>
          </c:cat>
          <c:val>
            <c:numRef>
              <c:f>'Summary'!$F$2:$F$5</c:f>
              <c:numCache>
                <c:formatCode>$#,##0</c:formatCode>
                <c:ptCount val="0"/>
              </c:numCache>
            </c:numRef>
          </c:val>
        </c:ser>
        <c:ser>
          <c:idx val="1"/>
          <c:order val="1"/>
          <c:tx>
            <c:v>Profit</c:v>
          </c:tx>
          <c:cat>
            <c:strRef>
              <c:f>'Summary'!$E$2:$E$5</c:f>
              <c:strCache>
                <c:ptCount val="0"/>
              </c:strCache>
            </c:strRef>
          </c:cat>
          <c:val>
            <c:numRef>
              <c:f>'Summary'!$G$2:$G$5</c:f>
              <c:numCache>
                <c:formatCode>$#,##0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Performance by Region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Revenue</c:v>
          </c:tx>
          <c:cat>
            <c:strRef>
              <c:f>'Summary'!$I$2:$I$6</c:f>
              <c:strCache>
                <c:ptCount val="0"/>
              </c:strCache>
            </c:strRef>
          </c:cat>
          <c:val>
            <c:numRef>
              <c:f>'Summary'!$J$2:$J$6</c:f>
              <c:numCache>
                <c:formatCode>$#,##0</c:formatCode>
                <c:ptCount val="0"/>
              </c:numCache>
            </c:numRef>
          </c:val>
        </c:ser>
        <c:ser>
          <c:idx val="1"/>
          <c:order val="1"/>
          <c:tx>
            <c:v>Profit</c:v>
          </c:tx>
          <c:cat>
            <c:strRef>
              <c:f>'Summary'!$I$2:$I$6</c:f>
              <c:strCache>
                <c:ptCount val="0"/>
              </c:strCache>
            </c:strRef>
          </c:cat>
          <c:val>
            <c:numRef>
              <c:f>'Summary'!$K$2:$K$6</c:f>
              <c:numCache>
                <c:formatCode>$#,##0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6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bf5da5c76fd4549"/>
        </a:graphicData>
      </a:graphic>
    </xdr:graphicFrame>
    <xdr:clientData/>
  </xdr:twoCellAnchor>
  <xdr:twoCellAnchor>
    <xdr:from>
      <xdr:col>6</xdr:col>
      <xdr:colOff>0</xdr:colOff>
      <xdr:row>8</xdr:row>
      <xdr:rowOff>0</xdr:rowOff>
    </xdr:from>
    <xdr:to>
      <xdr:col>12</xdr:col>
      <xdr:colOff>0</xdr:colOff>
      <xdr:row>22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20c01883c1248ea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6</xdr:col>
      <xdr:colOff>0</xdr:colOff>
      <xdr:row>37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95e953a461f4b2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SalesData" displayName="SalesData" ref="A1:M501" headerRowCount="1" totalsRowCount="0" totalsRowShown="0">
  <x:tableColumns count="13">
    <x:tableColumn id="1" name="Order ID"/>
    <x:tableColumn id="2" name="Date"/>
    <x:tableColumn id="3" name="Region"/>
    <x:tableColumn id="4" name="Category"/>
    <x:tableColumn id="5" name="Product"/>
    <x:tableColumn id="6" name="Salesperson"/>
    <x:tableColumn id="7" name="Quantity"/>
    <x:tableColumn id="8" name="Unit Price"/>
    <x:tableColumn id="9" name="Discount"/>
    <x:tableColumn id="10" name="Unit Cost"/>
    <x:tableColumn id="11" name="Revenue"/>
    <x:tableColumn id="12" name="Profit"/>
    <x:tableColumn id="13" name="Margi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6614acbed0646b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d1acddda85a4b27" /></Relationships>
</file>

<file path=xl/worksheets/sheet1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2" hidden="0" customWidth="1"/>
    <x:col min="3" max="3" width="13" hidden="0" customWidth="1"/>
    <x:col min="4" max="4" width="14" hidden="0" customWidth="1"/>
    <x:col min="5" max="5" width="18" hidden="0" customWidth="1"/>
    <x:col min="6" max="6" width="13" hidden="0" customWidth="1"/>
    <x:col min="7" max="7" width="10" hidden="0" customWidth="1"/>
    <x:col min="8" max="8" width="12" hidden="0" customWidth="1"/>
    <x:col min="9" max="9" width="10" hidden="0" customWidth="1"/>
    <x:col min="10" max="10" width="12" hidden="0" customWidth="1"/>
    <x:col min="11" max="11" width="13" hidden="0" customWidth="1"/>
    <x:col min="12" max="12" width="13" hidden="0" customWidth="1"/>
    <x:col min="13" max="13" width="10" hidden="0" customWidth="1"/>
  </x:cols>
  <x:sheetData>
    <x:row r="1" ht="26" customHeight="1">
      <x:c r="A1" s="5" t="str">
        <x:v>Order ID</x:v>
      </x:c>
      <x:c r="B1" s="5" t="str">
        <x:v>Date</x:v>
      </x:c>
      <x:c r="C1" s="5" t="str">
        <x:v>Region</x:v>
      </x:c>
      <x:c r="D1" s="5" t="str">
        <x:v>Category</x:v>
      </x:c>
      <x:c r="E1" s="5" t="str">
        <x:v>Product</x:v>
      </x:c>
      <x:c r="F1" s="5" t="str">
        <x:v>Salesperson</x:v>
      </x:c>
      <x:c r="G1" s="5" t="str">
        <x:v>Quantity</x:v>
      </x:c>
      <x:c r="H1" s="5" t="str">
        <x:v>Unit Price</x:v>
      </x:c>
      <x:c r="I1" s="5" t="str">
        <x:v>Discount</x:v>
      </x:c>
      <x:c r="J1" s="5" t="str">
        <x:v>Unit Cost</x:v>
      </x:c>
      <x:c r="K1" s="5" t="str">
        <x:v>Revenue</x:v>
      </x:c>
      <x:c r="L1" s="5" t="str">
        <x:v>Profit</x:v>
      </x:c>
      <x:c r="M1" s="5" t="str">
        <x:v>Margin</x:v>
      </x:c>
    </x:row>
    <x:row r="2">
      <x:c r="A2" t="str">
        <x:v>ORD-00001</x:v>
      </x:c>
      <x:c r="B2" s="10" t="n">
        <x:v>46186</x:v>
      </x:c>
      <x:c r="C2" t="str">
        <x:v>Southeast</x:v>
      </x:c>
      <x:c r="D2" t="str">
        <x:v>Accessories</x:v>
      </x:c>
      <x:c r="E2" t="str">
        <x:v>USB-C Hub</x:v>
      </x:c>
      <x:c r="F2" t="str">
        <x:v>Elisa</x:v>
      </x:c>
      <x:c r="G2" t="n">
        <x:v>4</x:v>
      </x:c>
      <x:c r="H2" s="12" t="n">
        <x:v>67.85</x:v>
      </x:c>
      <x:c r="I2" s="14" t="n">
        <x:v>0</x:v>
      </x:c>
      <x:c r="J2" s="12" t="n">
        <x:v>32.55</x:v>
      </x:c>
      <x:c r="K2" s="12" t="n">
        <x:f>G2*H2*(1-I2)</x:f>
        <x:v>271.4</x:v>
      </x:c>
      <x:c r="L2" s="12" t="n">
        <x:f>K2-(G2*J2)</x:f>
        <x:v>141.2</x:v>
      </x:c>
      <x:c r="M2" s="16" t="n">
        <x:f>IFERROR(L2/K2,0)</x:f>
        <x:v>0.5202652910832719</x:v>
      </x:c>
    </x:row>
    <x:row r="3">
      <x:c r="A3" t="str">
        <x:v>ORD-00002</x:v>
      </x:c>
      <x:c r="B3" s="10" t="n">
        <x:v>46045</x:v>
      </x:c>
      <x:c r="C3" t="str">
        <x:v>Northeast</x:v>
      </x:c>
      <x:c r="D3" t="str">
        <x:v>Technology</x:v>
      </x:c>
      <x:c r="E3" t="str">
        <x:v>Laptop Pro</x:v>
      </x:c>
      <x:c r="F3" t="str">
        <x:v>Bruno</x:v>
      </x:c>
      <x:c r="G3" t="n">
        <x:v>2</x:v>
      </x:c>
      <x:c r="H3" s="12" t="n">
        <x:v>1206.58</x:v>
      </x:c>
      <x:c r="I3" s="14" t="n">
        <x:v>0</x:v>
      </x:c>
      <x:c r="J3" s="12" t="n">
        <x:v>834.13</x:v>
      </x:c>
      <x:c r="K3" s="12" t="n">
        <x:f>G3*H3*(1-I3)</x:f>
        <x:v>2413.16</x:v>
      </x:c>
      <x:c r="L3" s="12" t="n">
        <x:f>K3-(G3*J3)</x:f>
        <x:v>744.8999999999999</x:v>
      </x:c>
      <x:c r="M3" s="16" t="n">
        <x:f>IFERROR(L3/K3,0)</x:f>
        <x:v>0.30868239155298444</x:v>
      </x:c>
    </x:row>
    <x:row r="4">
      <x:c r="A4" t="str">
        <x:v>ORD-00003</x:v>
      </x:c>
      <x:c r="B4" s="10" t="n">
        <x:v>46206</x:v>
      </x:c>
      <x:c r="C4" t="str">
        <x:v>Northeast</x:v>
      </x:c>
      <x:c r="D4" t="str">
        <x:v>Home</x:v>
      </x:c>
      <x:c r="E4" t="str">
        <x:v>Air Purifier</x:v>
      </x:c>
      <x:c r="F4" t="str">
        <x:v>Bruno</x:v>
      </x:c>
      <x:c r="G4" t="n">
        <x:v>8</x:v>
      </x:c>
      <x:c r="H4" s="12" t="n">
        <x:v>185.91</x:v>
      </x:c>
      <x:c r="I4" s="14" t="n">
        <x:v>0.05</x:v>
      </x:c>
      <x:c r="J4" s="12" t="n">
        <x:v>107.84</x:v>
      </x:c>
      <x:c r="K4" s="12" t="n">
        <x:f>G4*H4*(1-I4)</x:f>
        <x:v>1412.916</x:v>
      </x:c>
      <x:c r="L4" s="12" t="n">
        <x:f>K4-(G4*J4)</x:f>
        <x:v>550.1959999999999</x:v>
      </x:c>
      <x:c r="M4" s="16" t="n">
        <x:f>IFERROR(L4/K4,0)</x:f>
        <x:v>0.3894046072094873</x:v>
      </x:c>
    </x:row>
    <x:row r="5">
      <x:c r="A5" t="str">
        <x:v>ORD-00004</x:v>
      </x:c>
      <x:c r="B5" s="10" t="n">
        <x:v>46201</x:v>
      </x:c>
      <x:c r="C5" t="str">
        <x:v>South</x:v>
      </x:c>
      <x:c r="D5" t="str">
        <x:v>Accessories</x:v>
      </x:c>
      <x:c r="E5" t="str">
        <x:v>USB-C Hub</x:v>
      </x:c>
      <x:c r="F5" t="str">
        <x:v>Ana</x:v>
      </x:c>
      <x:c r="G5" t="n">
        <x:v>4</x:v>
      </x:c>
      <x:c r="H5" s="12" t="n">
        <x:v>69.32</x:v>
      </x:c>
      <x:c r="I5" s="14" t="n">
        <x:v>0.2</x:v>
      </x:c>
      <x:c r="J5" s="12" t="n">
        <x:v>31.51</x:v>
      </x:c>
      <x:c r="K5" s="12" t="n">
        <x:f>G5*H5*(1-I5)</x:f>
        <x:v>221.82399999999998</x:v>
      </x:c>
      <x:c r="L5" s="12" t="n">
        <x:f>K5-(G5*J5)</x:f>
        <x:v>95.78399999999998</x:v>
      </x:c>
      <x:c r="M5" s="16" t="n">
        <x:f>IFERROR(L5/K5,0)</x:f>
        <x:v>0.43180178880553943</x:v>
      </x:c>
    </x:row>
    <x:row r="6">
      <x:c r="A6" t="str">
        <x:v>ORD-00005</x:v>
      </x:c>
      <x:c r="B6" s="10" t="n">
        <x:v>46114</x:v>
      </x:c>
      <x:c r="C6" t="str">
        <x:v>Midwest</x:v>
      </x:c>
      <x:c r="D6" t="str">
        <x:v>Accessories</x:v>
      </x:c>
      <x:c r="E6" t="str">
        <x:v>USB-C Hub</x:v>
      </x:c>
      <x:c r="F6" t="str">
        <x:v>Elisa</x:v>
      </x:c>
      <x:c r="G6" t="n">
        <x:v>8</x:v>
      </x:c>
      <x:c r="H6" s="12" t="n">
        <x:v>73.33</x:v>
      </x:c>
      <x:c r="I6" s="14" t="n">
        <x:v>0.05</x:v>
      </x:c>
      <x:c r="J6" s="12" t="n">
        <x:v>31.97</x:v>
      </x:c>
      <x:c r="K6" s="12" t="n">
        <x:f>G6*H6*(1-I6)</x:f>
        <x:v>557.308</x:v>
      </x:c>
      <x:c r="L6" s="12" t="n">
        <x:f>K6-(G6*J6)</x:f>
        <x:v>301.548</x:v>
      </x:c>
      <x:c r="M6" s="16" t="n">
        <x:f>IFERROR(L6/K6,0)</x:f>
        <x:v>0.5410796184515564</x:v>
      </x:c>
    </x:row>
    <x:row r="7">
      <x:c r="A7" t="str">
        <x:v>ORD-00006</x:v>
      </x:c>
      <x:c r="B7" s="10" t="n">
        <x:v>46098</x:v>
      </x:c>
      <x:c r="C7" t="str">
        <x:v>Midwest</x:v>
      </x:c>
      <x:c r="D7" t="str">
        <x:v>Accessories</x:v>
      </x:c>
      <x:c r="E7" t="str">
        <x:v>Webcam HD</x:v>
      </x:c>
      <x:c r="F7" t="str">
        <x:v>Carla</x:v>
      </x:c>
      <x:c r="G7" t="n">
        <x:v>4</x:v>
      </x:c>
      <x:c r="H7" s="12" t="n">
        <x:v>91.59</x:v>
      </x:c>
      <x:c r="I7" s="14" t="n">
        <x:v>0.1</x:v>
      </x:c>
      <x:c r="J7" s="12" t="n">
        <x:v>47.59</x:v>
      </x:c>
      <x:c r="K7" s="12" t="n">
        <x:f>G7*H7*(1-I7)</x:f>
        <x:v>329.72400000000005</x:v>
      </x:c>
      <x:c r="L7" s="12" t="n">
        <x:f>K7-(G7*J7)</x:f>
        <x:v>139.36400000000003</x:v>
      </x:c>
      <x:c r="M7" s="16" t="n">
        <x:f>IFERROR(L7/K7,0)</x:f>
        <x:v>0.42266865620943583</x:v>
      </x:c>
    </x:row>
    <x:row r="8">
      <x:c r="A8" t="str">
        <x:v>ORD-00007</x:v>
      </x:c>
      <x:c r="B8" s="10" t="n">
        <x:v>46043</x:v>
      </x:c>
      <x:c r="C8" t="str">
        <x:v>Midwest</x:v>
      </x:c>
      <x:c r="D8" t="str">
        <x:v>Technology</x:v>
      </x:c>
      <x:c r="E8" t="str">
        <x:v>Wireless Mouse</x:v>
      </x:c>
      <x:c r="F8" t="str">
        <x:v>Carla</x:v>
      </x:c>
      <x:c r="G8" t="n">
        <x:v>5</x:v>
      </x:c>
      <x:c r="H8" s="12" t="n">
        <x:v>36.23</x:v>
      </x:c>
      <x:c r="I8" s="14" t="n">
        <x:v>0.05</x:v>
      </x:c>
      <x:c r="J8" s="12" t="n">
        <x:v>15.81</x:v>
      </x:c>
      <x:c r="K8" s="12" t="n">
        <x:f>G8*H8*(1-I8)</x:f>
        <x:v>172.09249999999997</x:v>
      </x:c>
      <x:c r="L8" s="12" t="n">
        <x:f>K8-(G8*J8)</x:f>
        <x:v>93.04249999999998</x:v>
      </x:c>
      <x:c r="M8" s="16" t="n">
        <x:f>IFERROR(L8/K8,0)</x:f>
        <x:v>0.5406540087452968</x:v>
      </x:c>
    </x:row>
    <x:row r="9">
      <x:c r="A9" t="str">
        <x:v>ORD-00008</x:v>
      </x:c>
      <x:c r="B9" s="10" t="n">
        <x:v>46076</x:v>
      </x:c>
      <x:c r="C9" t="str">
        <x:v>Northeast</x:v>
      </x:c>
      <x:c r="D9" t="str">
        <x:v>Technology</x:v>
      </x:c>
      <x:c r="E9" t="str">
        <x:v>Monitor 27</x:v>
      </x:c>
      <x:c r="F9" t="str">
        <x:v>Carla</x:v>
      </x:c>
      <x:c r="G9" t="n">
        <x:v>3</x:v>
      </x:c>
      <x:c r="H9" s="12" t="n">
        <x:v>284.79</x:v>
      </x:c>
      <x:c r="I9" s="14" t="n">
        <x:v>0.05</x:v>
      </x:c>
      <x:c r="J9" s="12" t="n">
        <x:v>180.56</x:v>
      </x:c>
      <x:c r="K9" s="12" t="n">
        <x:f>G9*H9*(1-I9)</x:f>
        <x:v>811.6515</x:v>
      </x:c>
      <x:c r="L9" s="12" t="n">
        <x:f>K9-(G9*J9)</x:f>
        <x:v>269.9715</x:v>
      </x:c>
      <x:c r="M9" s="16" t="n">
        <x:f>IFERROR(L9/K9,0)</x:f>
        <x:v>0.3326199729810146</x:v>
      </x:c>
    </x:row>
    <x:row r="10">
      <x:c r="A10" t="str">
        <x:v>ORD-00009</x:v>
      </x:c>
      <x:c r="B10" s="10" t="n">
        <x:v>46259</x:v>
      </x:c>
      <x:c r="C10" t="str">
        <x:v>Northeast</x:v>
      </x:c>
      <x:c r="D10" t="str">
        <x:v>Office</x:v>
      </x:c>
      <x:c r="E10" t="str">
        <x:v>Desk Lamp</x:v>
      </x:c>
      <x:c r="F10" t="str">
        <x:v>Ana</x:v>
      </x:c>
      <x:c r="G10" t="n">
        <x:v>6</x:v>
      </x:c>
      <x:c r="H10" s="12" t="n">
        <x:v>56.64</x:v>
      </x:c>
      <x:c r="I10" s="14" t="n">
        <x:v>0.15</x:v>
      </x:c>
      <x:c r="J10" s="12" t="n">
        <x:v>23.79</x:v>
      </x:c>
      <x:c r="K10" s="12" t="n">
        <x:f>G10*H10*(1-I10)</x:f>
        <x:v>288.86400000000003</x:v>
      </x:c>
      <x:c r="L10" s="12" t="n">
        <x:f>K10-(G10*J10)</x:f>
        <x:v>146.12400000000002</x:v>
      </x:c>
      <x:c r="M10" s="16" t="n">
        <x:f>IFERROR(L10/K10,0)</x:f>
        <x:v>0.5058574277168495</x:v>
      </x:c>
    </x:row>
    <x:row r="11">
      <x:c r="A11" t="str">
        <x:v>ORD-00010</x:v>
      </x:c>
      <x:c r="B11" s="10" t="n">
        <x:v>46229</x:v>
      </x:c>
      <x:c r="C11" t="str">
        <x:v>Southeast</x:v>
      </x:c>
      <x:c r="D11" t="str">
        <x:v>Accessories</x:v>
      </x:c>
      <x:c r="E11" t="str">
        <x:v>USB-C Hub</x:v>
      </x:c>
      <x:c r="F11" t="str">
        <x:v>Bruno</x:v>
      </x:c>
      <x:c r="G11" t="n">
        <x:v>4</x:v>
      </x:c>
      <x:c r="H11" s="12" t="n">
        <x:v>70.77</x:v>
      </x:c>
      <x:c r="I11" s="14" t="n">
        <x:v>0.15</x:v>
      </x:c>
      <x:c r="J11" s="12" t="n">
        <x:v>32.51</x:v>
      </x:c>
      <x:c r="K11" s="12" t="n">
        <x:f>G11*H11*(1-I11)</x:f>
        <x:v>240.61799999999997</x:v>
      </x:c>
      <x:c r="L11" s="12" t="n">
        <x:f>K11-(G11*J11)</x:f>
        <x:v>110.57799999999997</x:v>
      </x:c>
      <x:c r="M11" s="16" t="n">
        <x:f>IFERROR(L11/K11,0)</x:f>
        <x:v>0.4595583040337796</x:v>
      </x:c>
    </x:row>
    <x:row r="12">
      <x:c r="A12" t="str">
        <x:v>ORD-00011</x:v>
      </x:c>
      <x:c r="B12" s="10" t="n">
        <x:v>46190</x:v>
      </x:c>
      <x:c r="C12" t="str">
        <x:v>South</x:v>
      </x:c>
      <x:c r="D12" t="str">
        <x:v>Home</x:v>
      </x:c>
      <x:c r="E12" t="str">
        <x:v>Air Purifier</x:v>
      </x:c>
      <x:c r="F12" t="str">
        <x:v>Felipe</x:v>
      </x:c>
      <x:c r="G12" t="n">
        <x:v>5</x:v>
      </x:c>
      <x:c r="H12" s="12" t="n">
        <x:v>184.87</x:v>
      </x:c>
      <x:c r="I12" s="14" t="n">
        <x:v>0</x:v>
      </x:c>
      <x:c r="J12" s="12" t="n">
        <x:v>110.76</x:v>
      </x:c>
      <x:c r="K12" s="12" t="n">
        <x:f>G12*H12*(1-I12)</x:f>
        <x:v>924.35</x:v>
      </x:c>
      <x:c r="L12" s="12" t="n">
        <x:f>K12-(G12*J12)</x:f>
        <x:v>370.54999999999995</x:v>
      </x:c>
      <x:c r="M12" s="16" t="n">
        <x:f>IFERROR(L12/K12,0)</x:f>
        <x:v>0.4008762914480445</x:v>
      </x:c>
    </x:row>
    <x:row r="13">
      <x:c r="A13" t="str">
        <x:v>ORD-00012</x:v>
      </x:c>
      <x:c r="B13" s="10" t="n">
        <x:v>46172</x:v>
      </x:c>
      <x:c r="C13" t="str">
        <x:v>South</x:v>
      </x:c>
      <x:c r="D13" t="str">
        <x:v>Home</x:v>
      </x:c>
      <x:c r="E13" t="str">
        <x:v>Coffee Maker</x:v>
      </x:c>
      <x:c r="F13" t="str">
        <x:v>Ana</x:v>
      </x:c>
      <x:c r="G13" t="n">
        <x:v>4</x:v>
      </x:c>
      <x:c r="H13" s="12" t="n">
        <x:v>121.56</x:v>
      </x:c>
      <x:c r="I13" s="14" t="n">
        <x:v>0.2</x:v>
      </x:c>
      <x:c r="J13" s="12" t="n">
        <x:v>72.34</x:v>
      </x:c>
      <x:c r="K13" s="12" t="n">
        <x:f>G13*H13*(1-I13)</x:f>
        <x:v>388.992</x:v>
      </x:c>
      <x:c r="L13" s="12" t="n">
        <x:f>K13-(G13*J13)</x:f>
        <x:v>99.632</x:v>
      </x:c>
      <x:c r="M13" s="16" t="n">
        <x:f>IFERROR(L13/K13,0)</x:f>
        <x:v>0.2561286607436657</x:v>
      </x:c>
    </x:row>
    <x:row r="14">
      <x:c r="A14" t="str">
        <x:v>ORD-00013</x:v>
      </x:c>
      <x:c r="B14" s="10" t="n">
        <x:v>46243</x:v>
      </x:c>
      <x:c r="C14" t="str">
        <x:v>Southeast</x:v>
      </x:c>
      <x:c r="D14" t="str">
        <x:v>Office</x:v>
      </x:c>
      <x:c r="E14" t="str">
        <x:v>Desk Lamp</x:v>
      </x:c>
      <x:c r="F14" t="str">
        <x:v>Diego</x:v>
      </x:c>
      <x:c r="G14" t="n">
        <x:v>7</x:v>
      </x:c>
      <x:c r="H14" s="12" t="n">
        <x:v>54.7</x:v>
      </x:c>
      <x:c r="I14" s="14" t="n">
        <x:v>0.05</x:v>
      </x:c>
      <x:c r="J14" s="12" t="n">
        <x:v>24.24</x:v>
      </x:c>
      <x:c r="K14" s="12" t="n">
        <x:f>G14*H14*(1-I14)</x:f>
        <x:v>363.755</x:v>
      </x:c>
      <x:c r="L14" s="12" t="n">
        <x:f>K14-(G14*J14)</x:f>
        <x:v>194.07500000000002</x:v>
      </x:c>
      <x:c r="M14" s="16" t="n">
        <x:f>IFERROR(L14/K14,0)</x:f>
        <x:v>0.5335321851246031</x:v>
      </x:c>
    </x:row>
    <x:row r="15">
      <x:c r="A15" t="str">
        <x:v>ORD-00014</x:v>
      </x:c>
      <x:c r="B15" s="10" t="n">
        <x:v>46158</x:v>
      </x:c>
      <x:c r="C15" t="str">
        <x:v>Southeast</x:v>
      </x:c>
      <x:c r="D15" t="str">
        <x:v>Technology</x:v>
      </x:c>
      <x:c r="E15" t="str">
        <x:v>Monitor 27</x:v>
      </x:c>
      <x:c r="F15" t="str">
        <x:v>Felipe</x:v>
      </x:c>
      <x:c r="G15" t="n">
        <x:v>2</x:v>
      </x:c>
      <x:c r="H15" s="12" t="n">
        <x:v>292.41</x:v>
      </x:c>
      <x:c r="I15" s="14" t="n">
        <x:v>0.1</x:v>
      </x:c>
      <x:c r="J15" s="12" t="n">
        <x:v>178.8</x:v>
      </x:c>
      <x:c r="K15" s="12" t="n">
        <x:f>G15*H15*(1-I15)</x:f>
        <x:v>526.3380000000001</x:v>
      </x:c>
      <x:c r="L15" s="12" t="n">
        <x:f>K15-(G15*J15)</x:f>
        <x:v>168.73800000000006</x:v>
      </x:c>
      <x:c r="M15" s="16" t="n">
        <x:f>IFERROR(L15/K15,0)</x:f>
        <x:v>0.3205886711580772</x:v>
      </x:c>
    </x:row>
    <x:row r="16">
      <x:c r="A16" t="str">
        <x:v>ORD-00015</x:v>
      </x:c>
      <x:c r="B16" s="10" t="n">
        <x:v>46110</x:v>
      </x:c>
      <x:c r="C16" t="str">
        <x:v>Southeast</x:v>
      </x:c>
      <x:c r="D16" t="str">
        <x:v>Home</x:v>
      </x:c>
      <x:c r="E16" t="str">
        <x:v>Air Purifier</x:v>
      </x:c>
      <x:c r="F16" t="str">
        <x:v>Elisa</x:v>
      </x:c>
      <x:c r="G16" t="n">
        <x:v>8</x:v>
      </x:c>
      <x:c r="H16" s="12" t="n">
        <x:v>184.5</x:v>
      </x:c>
      <x:c r="I16" s="14" t="n">
        <x:v>0</x:v>
      </x:c>
      <x:c r="J16" s="12" t="n">
        <x:v>111.76</x:v>
      </x:c>
      <x:c r="K16" s="12" t="n">
        <x:f>G16*H16*(1-I16)</x:f>
        <x:v>1476</x:v>
      </x:c>
      <x:c r="L16" s="12" t="n">
        <x:f>K16-(G16*J16)</x:f>
        <x:v>581.92</x:v>
      </x:c>
      <x:c r="M16" s="16" t="n">
        <x:f>IFERROR(L16/K16,0)</x:f>
        <x:v>0.39425474254742543</x:v>
      </x:c>
    </x:row>
    <x:row r="17">
      <x:c r="A17" t="str">
        <x:v>ORD-00016</x:v>
      </x:c>
      <x:c r="B17" s="10" t="n">
        <x:v>46218</x:v>
      </x:c>
      <x:c r="C17" t="str">
        <x:v>Southeast</x:v>
      </x:c>
      <x:c r="D17" t="str">
        <x:v>Technology</x:v>
      </x:c>
      <x:c r="E17" t="str">
        <x:v>Monitor 27</x:v>
      </x:c>
      <x:c r="F17" t="str">
        <x:v>Carla</x:v>
      </x:c>
      <x:c r="G17" t="n">
        <x:v>5</x:v>
      </x:c>
      <x:c r="H17" s="12" t="n">
        <x:v>291.65</x:v>
      </x:c>
      <x:c r="I17" s="14" t="n">
        <x:v>0.15</x:v>
      </x:c>
      <x:c r="J17" s="12" t="n">
        <x:v>178.19</x:v>
      </x:c>
      <x:c r="K17" s="12" t="n">
        <x:f>G17*H17*(1-I17)</x:f>
        <x:v>1239.5125</x:v>
      </x:c>
      <x:c r="L17" s="12" t="n">
        <x:f>K17-(G17*J17)</x:f>
        <x:v>348.5625</x:v>
      </x:c>
      <x:c r="M17" s="16" t="n">
        <x:f>IFERROR(L17/K17,0)</x:f>
        <x:v>0.28120934641643386</x:v>
      </x:c>
    </x:row>
    <x:row r="18">
      <x:c r="A18" t="str">
        <x:v>ORD-00017</x:v>
      </x:c>
      <x:c r="B18" s="10" t="n">
        <x:v>46218</x:v>
      </x:c>
      <x:c r="C18" t="str">
        <x:v>Southeast</x:v>
      </x:c>
      <x:c r="D18" t="str">
        <x:v>Technology</x:v>
      </x:c>
      <x:c r="E18" t="str">
        <x:v>Monitor 27</x:v>
      </x:c>
      <x:c r="F18" t="str">
        <x:v>Carla</x:v>
      </x:c>
      <x:c r="G18" t="n">
        <x:v>6</x:v>
      </x:c>
      <x:c r="H18" s="12" t="n">
        <x:v>281.32</x:v>
      </x:c>
      <x:c r="I18" s="14" t="n">
        <x:v>0.05</x:v>
      </x:c>
      <x:c r="J18" s="12" t="n">
        <x:v>179.67</x:v>
      </x:c>
      <x:c r="K18" s="12" t="n">
        <x:f>G18*H18*(1-I18)</x:f>
        <x:v>1603.524</x:v>
      </x:c>
      <x:c r="L18" s="12" t="n">
        <x:f>K18-(G18*J18)</x:f>
        <x:v>525.5039999999999</x:v>
      </x:c>
      <x:c r="M18" s="16" t="n">
        <x:f>IFERROR(L18/K18,0)</x:f>
        <x:v>0.32771820066303964</x:v>
      </x:c>
    </x:row>
    <x:row r="19">
      <x:c r="A19" t="str">
        <x:v>ORD-00018</x:v>
      </x:c>
      <x:c r="B19" s="10" t="n">
        <x:v>46084</x:v>
      </x:c>
      <x:c r="C19" t="str">
        <x:v>Southeast</x:v>
      </x:c>
      <x:c r="D19" t="str">
        <x:v>Technology</x:v>
      </x:c>
      <x:c r="E19" t="str">
        <x:v>Laptop Pro</x:v>
      </x:c>
      <x:c r="F19" t="str">
        <x:v>Bruno</x:v>
      </x:c>
      <x:c r="G19" t="n">
        <x:v>8</x:v>
      </x:c>
      <x:c r="H19" s="12" t="n">
        <x:v>1257.62</x:v>
      </x:c>
      <x:c r="I19" s="14" t="n">
        <x:v>0.15</x:v>
      </x:c>
      <x:c r="J19" s="12" t="n">
        <x:v>855.64</x:v>
      </x:c>
      <x:c r="K19" s="12" t="n">
        <x:f>G19*H19*(1-I19)</x:f>
        <x:v>8551.815999999999</x:v>
      </x:c>
      <x:c r="L19" s="12" t="n">
        <x:f>K19-(G19*J19)</x:f>
        <x:v>1706.695999999999</x:v>
      </x:c>
      <x:c r="M19" s="16" t="n">
        <x:f>IFERROR(L19/K19,0)</x:f>
        <x:v>0.19957117879991795</x:v>
      </x:c>
    </x:row>
    <x:row r="20">
      <x:c r="A20" t="str">
        <x:v>ORD-00019</x:v>
      </x:c>
      <x:c r="B20" s="10" t="n">
        <x:v>46055</x:v>
      </x:c>
      <x:c r="C20" t="str">
        <x:v>Northeast</x:v>
      </x:c>
      <x:c r="D20" t="str">
        <x:v>Office</x:v>
      </x:c>
      <x:c r="E20" t="str">
        <x:v>Standing Desk</x:v>
      </x:c>
      <x:c r="F20" t="str">
        <x:v>Felipe</x:v>
      </x:c>
      <x:c r="G20" t="n">
        <x:v>7</x:v>
      </x:c>
      <x:c r="H20" s="12" t="n">
        <x:v>438.31</x:v>
      </x:c>
      <x:c r="I20" s="14" t="n">
        <x:v>0.2</x:v>
      </x:c>
      <x:c r="J20" s="12" t="n">
        <x:v>274.8</x:v>
      </x:c>
      <x:c r="K20" s="12" t="n">
        <x:f>G20*H20*(1-I20)</x:f>
        <x:v>2454.536</x:v>
      </x:c>
      <x:c r="L20" s="12" t="n">
        <x:f>K20-(G20*J20)</x:f>
        <x:v>530.9359999999999</x:v>
      </x:c>
      <x:c r="M20" s="16" t="n">
        <x:f>IFERROR(L20/K20,0)</x:f>
        <x:v>0.21630809244598567</x:v>
      </x:c>
    </x:row>
    <x:row r="21">
      <x:c r="A21" t="str">
        <x:v>ORD-00020</x:v>
      </x:c>
      <x:c r="B21" s="10" t="n">
        <x:v>46074</x:v>
      </x:c>
      <x:c r="C21" t="str">
        <x:v>Northeast</x:v>
      </x:c>
      <x:c r="D21" t="str">
        <x:v>Home</x:v>
      </x:c>
      <x:c r="E21" t="str">
        <x:v>Smart Lamp</x:v>
      </x:c>
      <x:c r="F21" t="str">
        <x:v>Bruno</x:v>
      </x:c>
      <x:c r="G21" t="n">
        <x:v>6</x:v>
      </x:c>
      <x:c r="H21" s="12" t="n">
        <x:v>65.43</x:v>
      </x:c>
      <x:c r="I21" s="14" t="n">
        <x:v>0.05</x:v>
      </x:c>
      <x:c r="J21" s="12" t="n">
        <x:v>28.6</x:v>
      </x:c>
      <x:c r="K21" s="12" t="n">
        <x:f>G21*H21*(1-I21)</x:f>
        <x:v>372.951</x:v>
      </x:c>
      <x:c r="L21" s="12" t="n">
        <x:f>K21-(G21*J21)</x:f>
        <x:v>201.351</x:v>
      </x:c>
      <x:c r="M21" s="16" t="n">
        <x:f>IFERROR(L21/K21,0)</x:f>
        <x:v>0.5398859367584481</x:v>
      </x:c>
    </x:row>
    <x:row r="22">
      <x:c r="A22" t="str">
        <x:v>ORD-00021</x:v>
      </x:c>
      <x:c r="B22" s="10" t="n">
        <x:v>46039</x:v>
      </x:c>
      <x:c r="C22" t="str">
        <x:v>Southeast</x:v>
      </x:c>
      <x:c r="D22" t="str">
        <x:v>Office</x:v>
      </x:c>
      <x:c r="E22" t="str">
        <x:v>Desk Lamp</x:v>
      </x:c>
      <x:c r="F22" t="str">
        <x:v>Ana</x:v>
      </x:c>
      <x:c r="G22" t="n">
        <x:v>4</x:v>
      </x:c>
      <x:c r="H22" s="12" t="n">
        <x:v>56.3</x:v>
      </x:c>
      <x:c r="I22" s="14" t="n">
        <x:v>0</x:v>
      </x:c>
      <x:c r="J22" s="12" t="n">
        <x:v>23.59</x:v>
      </x:c>
      <x:c r="K22" s="12" t="n">
        <x:f>G22*H22*(1-I22)</x:f>
        <x:v>225.2</x:v>
      </x:c>
      <x:c r="L22" s="12" t="n">
        <x:f>K22-(G22*J22)</x:f>
        <x:v>130.83999999999997</x:v>
      </x:c>
      <x:c r="M22" s="16" t="n">
        <x:f>IFERROR(L22/K22,0)</x:f>
        <x:v>0.580994671403197</x:v>
      </x:c>
    </x:row>
    <x:row r="23">
      <x:c r="A23" t="str">
        <x:v>ORD-00022</x:v>
      </x:c>
      <x:c r="B23" s="10" t="n">
        <x:v>46254</x:v>
      </x:c>
      <x:c r="C23" t="str">
        <x:v>Southeast</x:v>
      </x:c>
      <x:c r="D23" t="str">
        <x:v>Accessories</x:v>
      </x:c>
      <x:c r="E23" t="str">
        <x:v>USB-C Hub</x:v>
      </x:c>
      <x:c r="F23" t="str">
        <x:v>Felipe</x:v>
      </x:c>
      <x:c r="G23" t="n">
        <x:v>4</x:v>
      </x:c>
      <x:c r="H23" s="12" t="n">
        <x:v>70.26</x:v>
      </x:c>
      <x:c r="I23" s="14" t="n">
        <x:v>0</x:v>
      </x:c>
      <x:c r="J23" s="12" t="n">
        <x:v>32.22</x:v>
      </x:c>
      <x:c r="K23" s="12" t="n">
        <x:f>G23*H23*(1-I23)</x:f>
        <x:v>281.04</x:v>
      </x:c>
      <x:c r="L23" s="12" t="n">
        <x:f>K23-(G23*J23)</x:f>
        <x:v>152.16000000000003</x:v>
      </x:c>
      <x:c r="M23" s="16" t="n">
        <x:f>IFERROR(L23/K23,0)</x:f>
        <x:v>0.5414175918018788</x:v>
      </x:c>
    </x:row>
    <x:row r="24">
      <x:c r="A24" t="str">
        <x:v>ORD-00023</x:v>
      </x:c>
      <x:c r="B24" s="10" t="n">
        <x:v>46262</x:v>
      </x:c>
      <x:c r="C24" t="str">
        <x:v>North</x:v>
      </x:c>
      <x:c r="D24" t="str">
        <x:v>Home</x:v>
      </x:c>
      <x:c r="E24" t="str">
        <x:v>Air Purifier</x:v>
      </x:c>
      <x:c r="F24" t="str">
        <x:v>Diego</x:v>
      </x:c>
      <x:c r="G24" t="n">
        <x:v>8</x:v>
      </x:c>
      <x:c r="H24" s="12" t="n">
        <x:v>175.88</x:v>
      </x:c>
      <x:c r="I24" s="14" t="n">
        <x:v>0.15</x:v>
      </x:c>
      <x:c r="J24" s="12" t="n">
        <x:v>108.33</x:v>
      </x:c>
      <x:c r="K24" s="12" t="n">
        <x:f>G24*H24*(1-I24)</x:f>
        <x:v>1195.984</x:v>
      </x:c>
      <x:c r="L24" s="12" t="n">
        <x:f>K24-(G24*J24)</x:f>
        <x:v>329.34399999999994</x:v>
      </x:c>
      <x:c r="M24" s="16" t="n">
        <x:f>IFERROR(L24/K24,0)</x:f>
        <x:v>0.2753749214036308</x:v>
      </x:c>
    </x:row>
    <x:row r="25">
      <x:c r="A25" t="str">
        <x:v>ORD-00024</x:v>
      </x:c>
      <x:c r="B25" s="10" t="n">
        <x:v>46113</x:v>
      </x:c>
      <x:c r="C25" t="str">
        <x:v>South</x:v>
      </x:c>
      <x:c r="D25" t="str">
        <x:v>Home</x:v>
      </x:c>
      <x:c r="E25" t="str">
        <x:v>Smart Lamp</x:v>
      </x:c>
      <x:c r="F25" t="str">
        <x:v>Diego</x:v>
      </x:c>
      <x:c r="G25" t="n">
        <x:v>1</x:v>
      </x:c>
      <x:c r="H25" s="12" t="n">
        <x:v>68.16</x:v>
      </x:c>
      <x:c r="I25" s="14" t="n">
        <x:v>0.1</x:v>
      </x:c>
      <x:c r="J25" s="12" t="n">
        <x:v>28.56</x:v>
      </x:c>
      <x:c r="K25" s="12" t="n">
        <x:f>G25*H25*(1-I25)</x:f>
        <x:v>61.344</x:v>
      </x:c>
      <x:c r="L25" s="12" t="n">
        <x:f>K25-(G25*J25)</x:f>
        <x:v>32.784000000000006</x:v>
      </x:c>
      <x:c r="M25" s="16" t="n">
        <x:f>IFERROR(L25/K25,0)</x:f>
        <x:v>0.5344287949921753</x:v>
      </x:c>
    </x:row>
    <x:row r="26">
      <x:c r="A26" t="str">
        <x:v>ORD-00025</x:v>
      </x:c>
      <x:c r="B26" s="10" t="n">
        <x:v>46209</x:v>
      </x:c>
      <x:c r="C26" t="str">
        <x:v>Southeast</x:v>
      </x:c>
      <x:c r="D26" t="str">
        <x:v>Technology</x:v>
      </x:c>
      <x:c r="E26" t="str">
        <x:v>Laptop Pro</x:v>
      </x:c>
      <x:c r="F26" t="str">
        <x:v>Carla</x:v>
      </x:c>
      <x:c r="G26" t="n">
        <x:v>4</x:v>
      </x:c>
      <x:c r="H26" s="12" t="n">
        <x:v>1200.45</x:v>
      </x:c>
      <x:c r="I26" s="14" t="n">
        <x:v>0</x:v>
      </x:c>
      <x:c r="J26" s="12" t="n">
        <x:v>850.93</x:v>
      </x:c>
      <x:c r="K26" s="12" t="n">
        <x:f>G26*H26*(1-I26)</x:f>
        <x:v>4801.8</x:v>
      </x:c>
      <x:c r="L26" s="12" t="n">
        <x:f>K26-(G26*J26)</x:f>
        <x:v>1398.0800000000004</x:v>
      </x:c>
      <x:c r="M26" s="16" t="n">
        <x:f>IFERROR(L26/K26,0)</x:f>
        <x:v>0.29115748261068775</x:v>
      </x:c>
    </x:row>
    <x:row r="27">
      <x:c r="A27" t="str">
        <x:v>ORD-00026</x:v>
      </x:c>
      <x:c r="B27" s="10" t="n">
        <x:v>46141</x:v>
      </x:c>
      <x:c r="C27" t="str">
        <x:v>Southeast</x:v>
      </x:c>
      <x:c r="D27" t="str">
        <x:v>Technology</x:v>
      </x:c>
      <x:c r="E27" t="str">
        <x:v>Wireless Mouse</x:v>
      </x:c>
      <x:c r="F27" t="str">
        <x:v>Ana</x:v>
      </x:c>
      <x:c r="G27" t="n">
        <x:v>2</x:v>
      </x:c>
      <x:c r="H27" s="12" t="n">
        <x:v>36.75</x:v>
      </x:c>
      <x:c r="I27" s="14" t="n">
        <x:v>0</x:v>
      </x:c>
      <x:c r="J27" s="12" t="n">
        <x:v>16.35</x:v>
      </x:c>
      <x:c r="K27" s="12" t="n">
        <x:f>G27*H27*(1-I27)</x:f>
        <x:v>73.5</x:v>
      </x:c>
      <x:c r="L27" s="12" t="n">
        <x:f>K27-(G27*J27)</x:f>
        <x:v>40.8</x:v>
      </x:c>
      <x:c r="M27" s="16" t="n">
        <x:f>IFERROR(L27/K27,0)</x:f>
        <x:v>0.5551020408163265</x:v>
      </x:c>
    </x:row>
    <x:row r="28">
      <x:c r="A28" t="str">
        <x:v>ORD-00027</x:v>
      </x:c>
      <x:c r="B28" s="10" t="n">
        <x:v>46260</x:v>
      </x:c>
      <x:c r="C28" t="str">
        <x:v>Midwest</x:v>
      </x:c>
      <x:c r="D28" t="str">
        <x:v>Office</x:v>
      </x:c>
      <x:c r="E28" t="str">
        <x:v>Office Chair</x:v>
      </x:c>
      <x:c r="F28" t="str">
        <x:v>Ana</x:v>
      </x:c>
      <x:c r="G28" t="n">
        <x:v>7</x:v>
      </x:c>
      <x:c r="H28" s="12" t="n">
        <x:v>215.43</x:v>
      </x:c>
      <x:c r="I28" s="14" t="n">
        <x:v>0.05</x:v>
      </x:c>
      <x:c r="J28" s="12" t="n">
        <x:v>130.01</x:v>
      </x:c>
      <x:c r="K28" s="12" t="n">
        <x:f>G28*H28*(1-I28)</x:f>
        <x:v>1432.6095</x:v>
      </x:c>
      <x:c r="L28" s="12" t="n">
        <x:f>K28-(G28*J28)</x:f>
        <x:v>522.5395000000001</x:v>
      </x:c>
      <x:c r="M28" s="16" t="n">
        <x:f>IFERROR(L28/K28,0)</x:f>
        <x:v>0.3647466389131163</x:v>
      </x:c>
    </x:row>
    <x:row r="29">
      <x:c r="A29" t="str">
        <x:v>ORD-00028</x:v>
      </x:c>
      <x:c r="B29" s="10" t="n">
        <x:v>46065</x:v>
      </x:c>
      <x:c r="C29" t="str">
        <x:v>South</x:v>
      </x:c>
      <x:c r="D29" t="str">
        <x:v>Home</x:v>
      </x:c>
      <x:c r="E29" t="str">
        <x:v>Coffee Maker</x:v>
      </x:c>
      <x:c r="F29" t="str">
        <x:v>Elisa</x:v>
      </x:c>
      <x:c r="G29" t="n">
        <x:v>8</x:v>
      </x:c>
      <x:c r="H29" s="12" t="n">
        <x:v>127.84</x:v>
      </x:c>
      <x:c r="I29" s="14" t="n">
        <x:v>0</x:v>
      </x:c>
      <x:c r="J29" s="12" t="n">
        <x:v>73.19</x:v>
      </x:c>
      <x:c r="K29" s="12" t="n">
        <x:f>G29*H29*(1-I29)</x:f>
        <x:v>1022.72</x:v>
      </x:c>
      <x:c r="L29" s="12" t="n">
        <x:f>K29-(G29*J29)</x:f>
        <x:v>437.20000000000005</x:v>
      </x:c>
      <x:c r="M29" s="16" t="n">
        <x:f>IFERROR(L29/K29,0)</x:f>
        <x:v>0.4274874843554443</x:v>
      </x:c>
    </x:row>
    <x:row r="30">
      <x:c r="A30" t="str">
        <x:v>ORD-00029</x:v>
      </x:c>
      <x:c r="B30" s="10" t="n">
        <x:v>46192</x:v>
      </x:c>
      <x:c r="C30" t="str">
        <x:v>Northeast</x:v>
      </x:c>
      <x:c r="D30" t="str">
        <x:v>Office</x:v>
      </x:c>
      <x:c r="E30" t="str">
        <x:v>Office Chair</x:v>
      </x:c>
      <x:c r="F30" t="str">
        <x:v>Ana</x:v>
      </x:c>
      <x:c r="G30" t="n">
        <x:v>5</x:v>
      </x:c>
      <x:c r="H30" s="12" t="n">
        <x:v>212.36</x:v>
      </x:c>
      <x:c r="I30" s="14" t="n">
        <x:v>0</x:v>
      </x:c>
      <x:c r="J30" s="12" t="n">
        <x:v>132.18</x:v>
      </x:c>
      <x:c r="K30" s="12" t="n">
        <x:f>G30*H30*(1-I30)</x:f>
        <x:v>1061.8000000000002</x:v>
      </x:c>
      <x:c r="L30" s="12" t="n">
        <x:f>K30-(G30*J30)</x:f>
        <x:v>400.9000000000001</x:v>
      </x:c>
      <x:c r="M30" s="16" t="n">
        <x:f>IFERROR(L30/K30,0)</x:f>
        <x:v>0.37756639668487474</x:v>
      </x:c>
    </x:row>
    <x:row r="31">
      <x:c r="A31" t="str">
        <x:v>ORD-00030</x:v>
      </x:c>
      <x:c r="B31" s="10" t="n">
        <x:v>46214</x:v>
      </x:c>
      <x:c r="C31" t="str">
        <x:v>Southeast</x:v>
      </x:c>
      <x:c r="D31" t="str">
        <x:v>Technology</x:v>
      </x:c>
      <x:c r="E31" t="str">
        <x:v>Monitor 27</x:v>
      </x:c>
      <x:c r="F31" t="str">
        <x:v>Elisa</x:v>
      </x:c>
      <x:c r="G31" t="n">
        <x:v>8</x:v>
      </x:c>
      <x:c r="H31" s="12" t="n">
        <x:v>300.66</x:v>
      </x:c>
      <x:c r="I31" s="14" t="n">
        <x:v>0.05</x:v>
      </x:c>
      <x:c r="J31" s="12" t="n">
        <x:v>177.82</x:v>
      </x:c>
      <x:c r="K31" s="12" t="n">
        <x:f>G31*H31*(1-I31)</x:f>
        <x:v>2285.016</x:v>
      </x:c>
      <x:c r="L31" s="12" t="n">
        <x:f>K31-(G31*J31)</x:f>
        <x:v>862.4560000000001</x:v>
      </x:c>
      <x:c r="M31" s="16" t="n">
        <x:f>IFERROR(L31/K31,0)</x:f>
        <x:v>0.37743980786130166</x:v>
      </x:c>
    </x:row>
    <x:row r="32">
      <x:c r="A32" t="str">
        <x:v>ORD-00031</x:v>
      </x:c>
      <x:c r="B32" s="10" t="n">
        <x:v>46043</x:v>
      </x:c>
      <x:c r="C32" t="str">
        <x:v>Midwest</x:v>
      </x:c>
      <x:c r="D32" t="str">
        <x:v>Technology</x:v>
      </x:c>
      <x:c r="E32" t="str">
        <x:v>Monitor 27</x:v>
      </x:c>
      <x:c r="F32" t="str">
        <x:v>Elisa</x:v>
      </x:c>
      <x:c r="G32" t="n">
        <x:v>2</x:v>
      </x:c>
      <x:c r="H32" s="12" t="n">
        <x:v>284.54</x:v>
      </x:c>
      <x:c r="I32" s="14" t="n">
        <x:v>0.1</x:v>
      </x:c>
      <x:c r="J32" s="12" t="n">
        <x:v>177.48</x:v>
      </x:c>
      <x:c r="K32" s="12" t="n">
        <x:f>G32*H32*(1-I32)</x:f>
        <x:v>512.172</x:v>
      </x:c>
      <x:c r="L32" s="12" t="n">
        <x:f>K32-(G32*J32)</x:f>
        <x:v>157.21200000000005</x:v>
      </x:c>
      <x:c r="M32" s="16" t="n">
        <x:f>IFERROR(L32/K32,0)</x:f>
        <x:v>0.30695157095663184</x:v>
      </x:c>
    </x:row>
    <x:row r="33">
      <x:c r="A33" t="str">
        <x:v>ORD-00032</x:v>
      </x:c>
      <x:c r="B33" s="10" t="n">
        <x:v>46086</x:v>
      </x:c>
      <x:c r="C33" t="str">
        <x:v>Northeast</x:v>
      </x:c>
      <x:c r="D33" t="str">
        <x:v>Technology</x:v>
      </x:c>
      <x:c r="E33" t="str">
        <x:v>Monitor 27</x:v>
      </x:c>
      <x:c r="F33" t="str">
        <x:v>Carla</x:v>
      </x:c>
      <x:c r="G33" t="n">
        <x:v>2</x:v>
      </x:c>
      <x:c r="H33" s="12" t="n">
        <x:v>293.63</x:v>
      </x:c>
      <x:c r="I33" s="14" t="n">
        <x:v>0.05</x:v>
      </x:c>
      <x:c r="J33" s="12" t="n">
        <x:v>181.11</x:v>
      </x:c>
      <x:c r="K33" s="12" t="n">
        <x:f>G33*H33*(1-I33)</x:f>
        <x:v>557.8969999999999</x:v>
      </x:c>
      <x:c r="L33" s="12" t="n">
        <x:f>K33-(G33*J33)</x:f>
        <x:v>195.6769999999999</x:v>
      </x:c>
      <x:c r="M33" s="16" t="n">
        <x:f>IFERROR(L33/K33,0)</x:f>
        <x:v>0.35074036963812305</x:v>
      </x:c>
    </x:row>
    <x:row r="34">
      <x:c r="A34" t="str">
        <x:v>ORD-00033</x:v>
      </x:c>
      <x:c r="B34" s="10" t="n">
        <x:v>46075</x:v>
      </x:c>
      <x:c r="C34" t="str">
        <x:v>Northeast</x:v>
      </x:c>
      <x:c r="D34" t="str">
        <x:v>Accessories</x:v>
      </x:c>
      <x:c r="E34" t="str">
        <x:v>USB-C Hub</x:v>
      </x:c>
      <x:c r="F34" t="str">
        <x:v>Carla</x:v>
      </x:c>
      <x:c r="G34" t="n">
        <x:v>5</x:v>
      </x:c>
      <x:c r="H34" s="12" t="n">
        <x:v>71.43</x:v>
      </x:c>
      <x:c r="I34" s="14" t="n">
        <x:v>0.05</x:v>
      </x:c>
      <x:c r="J34" s="12" t="n">
        <x:v>31.84</x:v>
      </x:c>
      <x:c r="K34" s="12" t="n">
        <x:f>G34*H34*(1-I34)</x:f>
        <x:v>339.2925</x:v>
      </x:c>
      <x:c r="L34" s="12" t="n">
        <x:f>K34-(G34*J34)</x:f>
        <x:v>180.09250000000003</x:v>
      </x:c>
      <x:c r="M34" s="16" t="n">
        <x:f>IFERROR(L34/K34,0)</x:f>
        <x:v>0.5307883316017891</x:v>
      </x:c>
    </x:row>
    <x:row r="35">
      <x:c r="A35" t="str">
        <x:v>ORD-00034</x:v>
      </x:c>
      <x:c r="B35" s="10" t="n">
        <x:v>46260</x:v>
      </x:c>
      <x:c r="C35" t="str">
        <x:v>Midwest</x:v>
      </x:c>
      <x:c r="D35" t="str">
        <x:v>Technology</x:v>
      </x:c>
      <x:c r="E35" t="str">
        <x:v>Laptop Pro</x:v>
      </x:c>
      <x:c r="F35" t="str">
        <x:v>Elisa</x:v>
      </x:c>
      <x:c r="G35" t="n">
        <x:v>8</x:v>
      </x:c>
      <x:c r="H35" s="12" t="n">
        <x:v>1212.8</x:v>
      </x:c>
      <x:c r="I35" s="14" t="n">
        <x:v>0.1</x:v>
      </x:c>
      <x:c r="J35" s="12" t="n">
        <x:v>837.25</x:v>
      </x:c>
      <x:c r="K35" s="12" t="n">
        <x:f>G35*H35*(1-I35)</x:f>
        <x:v>8732.16</x:v>
      </x:c>
      <x:c r="L35" s="12" t="n">
        <x:f>K35-(G35*J35)</x:f>
        <x:v>2034.1599999999999</x:v>
      </x:c>
      <x:c r="M35" s="16" t="n">
        <x:f>IFERROR(L35/K35,0)</x:f>
        <x:v>0.23295038111990618</x:v>
      </x:c>
    </x:row>
    <x:row r="36">
      <x:c r="A36" t="str">
        <x:v>ORD-00035</x:v>
      </x:c>
      <x:c r="B36" s="10" t="n">
        <x:v>46077</x:v>
      </x:c>
      <x:c r="C36" t="str">
        <x:v>South</x:v>
      </x:c>
      <x:c r="D36" t="str">
        <x:v>Office</x:v>
      </x:c>
      <x:c r="E36" t="str">
        <x:v>Standing Desk</x:v>
      </x:c>
      <x:c r="F36" t="str">
        <x:v>Elisa</x:v>
      </x:c>
      <x:c r="G36" t="n">
        <x:v>2</x:v>
      </x:c>
      <x:c r="H36" s="12" t="n">
        <x:v>417.17</x:v>
      </x:c>
      <x:c r="I36" s="14" t="n">
        <x:v>0.15</x:v>
      </x:c>
      <x:c r="J36" s="12" t="n">
        <x:v>266.73</x:v>
      </x:c>
      <x:c r="K36" s="12" t="n">
        <x:f>G36*H36*(1-I36)</x:f>
        <x:v>709.189</x:v>
      </x:c>
      <x:c r="L36" s="12" t="n">
        <x:f>K36-(G36*J36)</x:f>
        <x:v>175.72899999999993</x:v>
      </x:c>
      <x:c r="M36" s="16" t="n">
        <x:f>IFERROR(L36/K36,0)</x:f>
        <x:v>0.24778867128508753</x:v>
      </x:c>
    </x:row>
    <x:row r="37">
      <x:c r="A37" t="str">
        <x:v>ORD-00036</x:v>
      </x:c>
      <x:c r="B37" s="10" t="n">
        <x:v>46203</x:v>
      </x:c>
      <x:c r="C37" t="str">
        <x:v>Southeast</x:v>
      </x:c>
      <x:c r="D37" t="str">
        <x:v>Technology</x:v>
      </x:c>
      <x:c r="E37" t="str">
        <x:v>Monitor 27</x:v>
      </x:c>
      <x:c r="F37" t="str">
        <x:v>Carla</x:v>
      </x:c>
      <x:c r="G37" t="n">
        <x:v>5</x:v>
      </x:c>
      <x:c r="H37" s="12" t="n">
        <x:v>281.1</x:v>
      </x:c>
      <x:c r="I37" s="14" t="n">
        <x:v>0.2</x:v>
      </x:c>
      <x:c r="J37" s="12" t="n">
        <x:v>184.3</x:v>
      </x:c>
      <x:c r="K37" s="12" t="n">
        <x:f>G37*H37*(1-I37)</x:f>
        <x:v>1124.4</x:v>
      </x:c>
      <x:c r="L37" s="12" t="n">
        <x:f>K37-(G37*J37)</x:f>
        <x:v>202.9000000000001</x:v>
      </x:c>
      <x:c r="M37" s="16" t="n">
        <x:f>IFERROR(L37/K37,0)</x:f>
        <x:v>0.18045179651369625</x:v>
      </x:c>
    </x:row>
    <x:row r="38">
      <x:c r="A38" t="str">
        <x:v>ORD-00037</x:v>
      </x:c>
      <x:c r="B38" s="10" t="n">
        <x:v>46052</x:v>
      </x:c>
      <x:c r="C38" t="str">
        <x:v>North</x:v>
      </x:c>
      <x:c r="D38" t="str">
        <x:v>Office</x:v>
      </x:c>
      <x:c r="E38" t="str">
        <x:v>Standing Desk</x:v>
      </x:c>
      <x:c r="F38" t="str">
        <x:v>Felipe</x:v>
      </x:c>
      <x:c r="G38" t="n">
        <x:v>5</x:v>
      </x:c>
      <x:c r="H38" s="12" t="n">
        <x:v>430.33</x:v>
      </x:c>
      <x:c r="I38" s="14" t="n">
        <x:v>0.1</x:v>
      </x:c>
      <x:c r="J38" s="12" t="n">
        <x:v>267.35</x:v>
      </x:c>
      <x:c r="K38" s="12" t="n">
        <x:f>G38*H38*(1-I38)</x:f>
        <x:v>1936.4850000000001</x:v>
      </x:c>
      <x:c r="L38" s="12" t="n">
        <x:f>K38-(G38*J38)</x:f>
        <x:v>599.7350000000001</x:v>
      </x:c>
      <x:c r="M38" s="16" t="n">
        <x:f>IFERROR(L38/K38,0)</x:f>
        <x:v>0.3097028895137324</x:v>
      </x:c>
    </x:row>
    <x:row r="39">
      <x:c r="A39" t="str">
        <x:v>ORD-00038</x:v>
      </x:c>
      <x:c r="B39" s="10" t="n">
        <x:v>46241</x:v>
      </x:c>
      <x:c r="C39" t="str">
        <x:v>Southeast</x:v>
      </x:c>
      <x:c r="D39" t="str">
        <x:v>Home</x:v>
      </x:c>
      <x:c r="E39" t="str">
        <x:v>Coffee Maker</x:v>
      </x:c>
      <x:c r="F39" t="str">
        <x:v>Ana</x:v>
      </x:c>
      <x:c r="G39" t="n">
        <x:v>1</x:v>
      </x:c>
      <x:c r="H39" s="12" t="n">
        <x:v>124.77</x:v>
      </x:c>
      <x:c r="I39" s="14" t="n">
        <x:v>0</x:v>
      </x:c>
      <x:c r="J39" s="12" t="n">
        <x:v>71.56</x:v>
      </x:c>
      <x:c r="K39" s="12" t="n">
        <x:f>G39*H39*(1-I39)</x:f>
        <x:v>124.77</x:v>
      </x:c>
      <x:c r="L39" s="12" t="n">
        <x:f>K39-(G39*J39)</x:f>
        <x:v>53.209999999999994</x:v>
      </x:c>
      <x:c r="M39" s="16" t="n">
        <x:f>IFERROR(L39/K39,0)</x:f>
        <x:v>0.42646469503887147</x:v>
      </x:c>
    </x:row>
    <x:row r="40">
      <x:c r="A40" t="str">
        <x:v>ORD-00039</x:v>
      </x:c>
      <x:c r="B40" s="10" t="n">
        <x:v>46108</x:v>
      </x:c>
      <x:c r="C40" t="str">
        <x:v>Midwest</x:v>
      </x:c>
      <x:c r="D40" t="str">
        <x:v>Accessories</x:v>
      </x:c>
      <x:c r="E40" t="str">
        <x:v>USB-C Hub</x:v>
      </x:c>
      <x:c r="F40" t="str">
        <x:v>Ana</x:v>
      </x:c>
      <x:c r="G40" t="n">
        <x:v>8</x:v>
      </x:c>
      <x:c r="H40" s="12" t="n">
        <x:v>69.89</x:v>
      </x:c>
      <x:c r="I40" s="14" t="n">
        <x:v>0.05</x:v>
      </x:c>
      <x:c r="J40" s="12" t="n">
        <x:v>31.38</x:v>
      </x:c>
      <x:c r="K40" s="12" t="n">
        <x:f>G40*H40*(1-I40)</x:f>
        <x:v>531.164</x:v>
      </x:c>
      <x:c r="L40" s="12" t="n">
        <x:f>K40-(G40*J40)</x:f>
        <x:v>280.124</x:v>
      </x:c>
      <x:c r="M40" s="16" t="n">
        <x:f>IFERROR(L40/K40,0)</x:f>
        <x:v>0.5273776084222576</x:v>
      </x:c>
    </x:row>
    <x:row r="41">
      <x:c r="A41" t="str">
        <x:v>ORD-00040</x:v>
      </x:c>
      <x:c r="B41" s="10" t="n">
        <x:v>46264</x:v>
      </x:c>
      <x:c r="C41" t="str">
        <x:v>North</x:v>
      </x:c>
      <x:c r="D41" t="str">
        <x:v>Office</x:v>
      </x:c>
      <x:c r="E41" t="str">
        <x:v>Desk Lamp</x:v>
      </x:c>
      <x:c r="F41" t="str">
        <x:v>Bruno</x:v>
      </x:c>
      <x:c r="G41" t="n">
        <x:v>1</x:v>
      </x:c>
      <x:c r="H41" s="12" t="n">
        <x:v>55.68</x:v>
      </x:c>
      <x:c r="I41" s="14" t="n">
        <x:v>0.15</x:v>
      </x:c>
      <x:c r="J41" s="12" t="n">
        <x:v>23.7</x:v>
      </x:c>
      <x:c r="K41" s="12" t="n">
        <x:f>G41*H41*(1-I41)</x:f>
        <x:v>47.327999999999996</x:v>
      </x:c>
      <x:c r="L41" s="12" t="n">
        <x:f>K41-(G41*J41)</x:f>
        <x:v>23.627999999999997</x:v>
      </x:c>
      <x:c r="M41" s="16" t="n">
        <x:f>IFERROR(L41/K41,0)</x:f>
        <x:v>0.4992393509127789</x:v>
      </x:c>
    </x:row>
    <x:row r="42">
      <x:c r="A42" t="str">
        <x:v>ORD-00041</x:v>
      </x:c>
      <x:c r="B42" s="10" t="n">
        <x:v>46033</x:v>
      </x:c>
      <x:c r="C42" t="str">
        <x:v>Southeast</x:v>
      </x:c>
      <x:c r="D42" t="str">
        <x:v>Technology</x:v>
      </x:c>
      <x:c r="E42" t="str">
        <x:v>Wireless Mouse</x:v>
      </x:c>
      <x:c r="F42" t="str">
        <x:v>Elisa</x:v>
      </x:c>
      <x:c r="G42" t="n">
        <x:v>4</x:v>
      </x:c>
      <x:c r="H42" s="12" t="n">
        <x:v>35.7</x:v>
      </x:c>
      <x:c r="I42" s="14" t="n">
        <x:v>0.1</x:v>
      </x:c>
      <x:c r="J42" s="12" t="n">
        <x:v>15.96</x:v>
      </x:c>
      <x:c r="K42" s="12" t="n">
        <x:f>G42*H42*(1-I42)</x:f>
        <x:v>128.52</x:v>
      </x:c>
      <x:c r="L42" s="12" t="n">
        <x:f>K42-(G42*J42)</x:f>
        <x:v>64.68</x:v>
      </x:c>
      <x:c r="M42" s="16" t="n">
        <x:f>IFERROR(L42/K42,0)</x:f>
        <x:v>0.5032679738562091</x:v>
      </x:c>
    </x:row>
    <x:row r="43">
      <x:c r="A43" t="str">
        <x:v>ORD-00042</x:v>
      </x:c>
      <x:c r="B43" s="10" t="n">
        <x:v>46249</x:v>
      </x:c>
      <x:c r="C43" t="str">
        <x:v>Midwest</x:v>
      </x:c>
      <x:c r="D43" t="str">
        <x:v>Office</x:v>
      </x:c>
      <x:c r="E43" t="str">
        <x:v>Office Chair</x:v>
      </x:c>
      <x:c r="F43" t="str">
        <x:v>Ana</x:v>
      </x:c>
      <x:c r="G43" t="n">
        <x:v>3</x:v>
      </x:c>
      <x:c r="H43" s="12" t="n">
        <x:v>227.25</x:v>
      </x:c>
      <x:c r="I43" s="14" t="n">
        <x:v>0.2</x:v>
      </x:c>
      <x:c r="J43" s="12" t="n">
        <x:v>133.13</x:v>
      </x:c>
      <x:c r="K43" s="12" t="n">
        <x:f>G43*H43*(1-I43)</x:f>
        <x:v>545.4</x:v>
      </x:c>
      <x:c r="L43" s="12" t="n">
        <x:f>K43-(G43*J43)</x:f>
        <x:v>146.01</x:v>
      </x:c>
      <x:c r="M43" s="16" t="n">
        <x:f>IFERROR(L43/K43,0)</x:f>
        <x:v>0.2677117711771177</x:v>
      </x:c>
    </x:row>
    <x:row r="44">
      <x:c r="A44" t="str">
        <x:v>ORD-00043</x:v>
      </x:c>
      <x:c r="B44" s="10" t="n">
        <x:v>46068</x:v>
      </x:c>
      <x:c r="C44" t="str">
        <x:v>Northeast</x:v>
      </x:c>
      <x:c r="D44" t="str">
        <x:v>Accessories</x:v>
      </x:c>
      <x:c r="E44" t="str">
        <x:v>Backpack</x:v>
      </x:c>
      <x:c r="F44" t="str">
        <x:v>Ana</x:v>
      </x:c>
      <x:c r="G44" t="n">
        <x:v>4</x:v>
      </x:c>
      <x:c r="H44" s="12" t="n">
        <x:v>87.62</x:v>
      </x:c>
      <x:c r="I44" s="14" t="n">
        <x:v>0</x:v>
      </x:c>
      <x:c r="J44" s="12" t="n">
        <x:v>41.39</x:v>
      </x:c>
      <x:c r="K44" s="12" t="n">
        <x:f>G44*H44*(1-I44)</x:f>
        <x:v>350.48</x:v>
      </x:c>
      <x:c r="L44" s="12" t="n">
        <x:f>K44-(G44*J44)</x:f>
        <x:v>184.92000000000002</x:v>
      </x:c>
      <x:c r="M44" s="16" t="n">
        <x:f>IFERROR(L44/K44,0)</x:f>
        <x:v>0.5276192650079891</x:v>
      </x:c>
    </x:row>
    <x:row r="45">
      <x:c r="A45" t="str">
        <x:v>ORD-00044</x:v>
      </x:c>
      <x:c r="B45" s="10" t="n">
        <x:v>46242</x:v>
      </x:c>
      <x:c r="C45" t="str">
        <x:v>South</x:v>
      </x:c>
      <x:c r="D45" t="str">
        <x:v>Office</x:v>
      </x:c>
      <x:c r="E45" t="str">
        <x:v>Standing Desk</x:v>
      </x:c>
      <x:c r="F45" t="str">
        <x:v>Ana</x:v>
      </x:c>
      <x:c r="G45" t="n">
        <x:v>6</x:v>
      </x:c>
      <x:c r="H45" s="12" t="n">
        <x:v>433.26</x:v>
      </x:c>
      <x:c r="I45" s="14" t="n">
        <x:v>0</x:v>
      </x:c>
      <x:c r="J45" s="12" t="n">
        <x:v>267.67</x:v>
      </x:c>
      <x:c r="K45" s="12" t="n">
        <x:f>G45*H45*(1-I45)</x:f>
        <x:v>2599.56</x:v>
      </x:c>
      <x:c r="L45" s="12" t="n">
        <x:f>K45-(G45*J45)</x:f>
        <x:v>993.54</x:v>
      </x:c>
      <x:c r="M45" s="16" t="n">
        <x:f>IFERROR(L45/K45,0)</x:f>
        <x:v>0.3821954484605087</x:v>
      </x:c>
    </x:row>
    <x:row r="46">
      <x:c r="A46" t="str">
        <x:v>ORD-00045</x:v>
      </x:c>
      <x:c r="B46" s="10" t="n">
        <x:v>46191</x:v>
      </x:c>
      <x:c r="C46" t="str">
        <x:v>Southeast</x:v>
      </x:c>
      <x:c r="D46" t="str">
        <x:v>Accessories</x:v>
      </x:c>
      <x:c r="E46" t="str">
        <x:v>Backpack</x:v>
      </x:c>
      <x:c r="F46" t="str">
        <x:v>Diego</x:v>
      </x:c>
      <x:c r="G46" t="n">
        <x:v>2</x:v>
      </x:c>
      <x:c r="H46" s="12" t="n">
        <x:v>83.74</x:v>
      </x:c>
      <x:c r="I46" s="14" t="n">
        <x:v>0.2</x:v>
      </x:c>
      <x:c r="J46" s="12" t="n">
        <x:v>42.51</x:v>
      </x:c>
      <x:c r="K46" s="12" t="n">
        <x:f>G46*H46*(1-I46)</x:f>
        <x:v>133.984</x:v>
      </x:c>
      <x:c r="L46" s="12" t="n">
        <x:f>K46-(G46*J46)</x:f>
        <x:v>48.96400000000001</x:v>
      </x:c>
      <x:c r="M46" s="16" t="n">
        <x:f>IFERROR(L46/K46,0)</x:f>
        <x:v>0.3654466204919991</x:v>
      </x:c>
    </x:row>
    <x:row r="47">
      <x:c r="A47" t="str">
        <x:v>ORD-00046</x:v>
      </x:c>
      <x:c r="B47" s="10" t="n">
        <x:v>46196</x:v>
      </x:c>
      <x:c r="C47" t="str">
        <x:v>North</x:v>
      </x:c>
      <x:c r="D47" t="str">
        <x:v>Accessories</x:v>
      </x:c>
      <x:c r="E47" t="str">
        <x:v>USB-C Hub</x:v>
      </x:c>
      <x:c r="F47" t="str">
        <x:v>Carla</x:v>
      </x:c>
      <x:c r="G47" t="n">
        <x:v>2</x:v>
      </x:c>
      <x:c r="H47" s="12" t="n">
        <x:v>68.85</x:v>
      </x:c>
      <x:c r="I47" s="14" t="n">
        <x:v>0.15</x:v>
      </x:c>
      <x:c r="J47" s="12" t="n">
        <x:v>32.29</x:v>
      </x:c>
      <x:c r="K47" s="12" t="n">
        <x:f>G47*H47*(1-I47)</x:f>
        <x:v>117.04499999999999</x:v>
      </x:c>
      <x:c r="L47" s="12" t="n">
        <x:f>K47-(G47*J47)</x:f>
        <x:v>52.46499999999999</x:v>
      </x:c>
      <x:c r="M47" s="16" t="n">
        <x:f>IFERROR(L47/K47,0)</x:f>
        <x:v>0.4482464009568969</x:v>
      </x:c>
    </x:row>
    <x:row r="48">
      <x:c r="A48" t="str">
        <x:v>ORD-00047</x:v>
      </x:c>
      <x:c r="B48" s="10" t="n">
        <x:v>46032</x:v>
      </x:c>
      <x:c r="C48" t="str">
        <x:v>Southeast</x:v>
      </x:c>
      <x:c r="D48" t="str">
        <x:v>Home</x:v>
      </x:c>
      <x:c r="E48" t="str">
        <x:v>Coffee Maker</x:v>
      </x:c>
      <x:c r="F48" t="str">
        <x:v>Elisa</x:v>
      </x:c>
      <x:c r="G48" t="n">
        <x:v>6</x:v>
      </x:c>
      <x:c r="H48" s="12" t="n">
        <x:v>131.07</x:v>
      </x:c>
      <x:c r="I48" s="14" t="n">
        <x:v>0.05</x:v>
      </x:c>
      <x:c r="J48" s="12" t="n">
        <x:v>70.98</x:v>
      </x:c>
      <x:c r="K48" s="12" t="n">
        <x:f>G48*H48*(1-I48)</x:f>
        <x:v>747.0989999999999</x:v>
      </x:c>
      <x:c r="L48" s="12" t="n">
        <x:f>K48-(G48*J48)</x:f>
        <x:v>321.21899999999994</x:v>
      </x:c>
      <x:c r="M48" s="16" t="n">
        <x:f>IFERROR(L48/K48,0)</x:f>
        <x:v>0.4299550661960463</x:v>
      </x:c>
    </x:row>
    <x:row r="49">
      <x:c r="A49" t="str">
        <x:v>ORD-00048</x:v>
      </x:c>
      <x:c r="B49" s="10" t="n">
        <x:v>46071</x:v>
      </x:c>
      <x:c r="C49" t="str">
        <x:v>Southeast</x:v>
      </x:c>
      <x:c r="D49" t="str">
        <x:v>Home</x:v>
      </x:c>
      <x:c r="E49" t="str">
        <x:v>Air Purifier</x:v>
      </x:c>
      <x:c r="F49" t="str">
        <x:v>Carla</x:v>
      </x:c>
      <x:c r="G49" t="n">
        <x:v>4</x:v>
      </x:c>
      <x:c r="H49" s="12" t="n">
        <x:v>173.93</x:v>
      </x:c>
      <x:c r="I49" s="14" t="n">
        <x:v>0.05</x:v>
      </x:c>
      <x:c r="J49" s="12" t="n">
        <x:v>111.45</x:v>
      </x:c>
      <x:c r="K49" s="12" t="n">
        <x:f>G49*H49*(1-I49)</x:f>
        <x:v>660.934</x:v>
      </x:c>
      <x:c r="L49" s="12" t="n">
        <x:f>K49-(G49*J49)</x:f>
        <x:v>215.13399999999996</x:v>
      </x:c>
      <x:c r="M49" s="16" t="n">
        <x:f>IFERROR(L49/K49,0)</x:f>
        <x:v>0.32549997427882355</x:v>
      </x:c>
    </x:row>
    <x:row r="50">
      <x:c r="A50" t="str">
        <x:v>ORD-00049</x:v>
      </x:c>
      <x:c r="B50" s="10" t="n">
        <x:v>46182</x:v>
      </x:c>
      <x:c r="C50" t="str">
        <x:v>Southeast</x:v>
      </x:c>
      <x:c r="D50" t="str">
        <x:v>Technology</x:v>
      </x:c>
      <x:c r="E50" t="str">
        <x:v>Monitor 27</x:v>
      </x:c>
      <x:c r="F50" t="str">
        <x:v>Felipe</x:v>
      </x:c>
      <x:c r="G50" t="n">
        <x:v>5</x:v>
      </x:c>
      <x:c r="H50" s="12" t="n">
        <x:v>295.81</x:v>
      </x:c>
      <x:c r="I50" s="14" t="n">
        <x:v>0.05</x:v>
      </x:c>
      <x:c r="J50" s="12" t="n">
        <x:v>179.34</x:v>
      </x:c>
      <x:c r="K50" s="12" t="n">
        <x:f>G50*H50*(1-I50)</x:f>
        <x:v>1405.0974999999999</x:v>
      </x:c>
      <x:c r="L50" s="12" t="n">
        <x:f>K50-(G50*J50)</x:f>
        <x:v>508.3974999999998</x:v>
      </x:c>
      <x:c r="M50" s="16" t="n">
        <x:f>IFERROR(L50/K50,0)</x:f>
        <x:v>0.3618236456900677</x:v>
      </x:c>
    </x:row>
    <x:row r="51">
      <x:c r="A51" t="str">
        <x:v>ORD-00050</x:v>
      </x:c>
      <x:c r="B51" s="10" t="n">
        <x:v>46098</x:v>
      </x:c>
      <x:c r="C51" t="str">
        <x:v>South</x:v>
      </x:c>
      <x:c r="D51" t="str">
        <x:v>Office</x:v>
      </x:c>
      <x:c r="E51" t="str">
        <x:v>Standing Desk</x:v>
      </x:c>
      <x:c r="F51" t="str">
        <x:v>Carla</x:v>
      </x:c>
      <x:c r="G51" t="n">
        <x:v>7</x:v>
      </x:c>
      <x:c r="H51" s="12" t="n">
        <x:v>437.33</x:v>
      </x:c>
      <x:c r="I51" s="14" t="n">
        <x:v>0.1</x:v>
      </x:c>
      <x:c r="J51" s="12" t="n">
        <x:v>272.91</x:v>
      </x:c>
      <x:c r="K51" s="12" t="n">
        <x:f>G51*H51*(1-I51)</x:f>
        <x:v>2755.179</x:v>
      </x:c>
      <x:c r="L51" s="12" t="n">
        <x:f>K51-(G51*J51)</x:f>
        <x:v>844.809</x:v>
      </x:c>
      <x:c r="M51" s="16" t="n">
        <x:f>IFERROR(L51/K51,0)</x:f>
        <x:v>0.3066258126967431</x:v>
      </x:c>
    </x:row>
    <x:row r="52">
      <x:c r="A52" t="str">
        <x:v>ORD-00051</x:v>
      </x:c>
      <x:c r="B52" s="10" t="n">
        <x:v>46126</x:v>
      </x:c>
      <x:c r="C52" t="str">
        <x:v>South</x:v>
      </x:c>
      <x:c r="D52" t="str">
        <x:v>Technology</x:v>
      </x:c>
      <x:c r="E52" t="str">
        <x:v>Wireless Mouse</x:v>
      </x:c>
      <x:c r="F52" t="str">
        <x:v>Carla</x:v>
      </x:c>
      <x:c r="G52" t="n">
        <x:v>5</x:v>
      </x:c>
      <x:c r="H52" s="12" t="n">
        <x:v>36.08</x:v>
      </x:c>
      <x:c r="I52" s="14" t="n">
        <x:v>0</x:v>
      </x:c>
      <x:c r="J52" s="12" t="n">
        <x:v>16.17</x:v>
      </x:c>
      <x:c r="K52" s="12" t="n">
        <x:f>G52*H52*(1-I52)</x:f>
        <x:v>180.39999999999998</x:v>
      </x:c>
      <x:c r="L52" s="12" t="n">
        <x:f>K52-(G52*J52)</x:f>
        <x:v>99.54999999999997</x:v>
      </x:c>
      <x:c r="M52" s="16" t="n">
        <x:f>IFERROR(L52/K52,0)</x:f>
        <x:v>0.5518292682926829</x:v>
      </x:c>
    </x:row>
    <x:row r="53">
      <x:c r="A53" t="str">
        <x:v>ORD-00052</x:v>
      </x:c>
      <x:c r="B53" s="10" t="n">
        <x:v>46142</x:v>
      </x:c>
      <x:c r="C53" t="str">
        <x:v>South</x:v>
      </x:c>
      <x:c r="D53" t="str">
        <x:v>Office</x:v>
      </x:c>
      <x:c r="E53" t="str">
        <x:v>Desk Lamp</x:v>
      </x:c>
      <x:c r="F53" t="str">
        <x:v>Felipe</x:v>
      </x:c>
      <x:c r="G53" t="n">
        <x:v>8</x:v>
      </x:c>
      <x:c r="H53" s="12" t="n">
        <x:v>57.55</x:v>
      </x:c>
      <x:c r="I53" s="14" t="n">
        <x:v>0.1</x:v>
      </x:c>
      <x:c r="J53" s="12" t="n">
        <x:v>24.4</x:v>
      </x:c>
      <x:c r="K53" s="12" t="n">
        <x:f>G53*H53*(1-I53)</x:f>
        <x:v>414.36</x:v>
      </x:c>
      <x:c r="L53" s="12" t="n">
        <x:f>K53-(G53*J53)</x:f>
        <x:v>219.16000000000003</x:v>
      </x:c>
      <x:c r="M53" s="16" t="n">
        <x:f>IFERROR(L53/K53,0)</x:f>
        <x:v>0.5289120571483734</x:v>
      </x:c>
    </x:row>
    <x:row r="54">
      <x:c r="A54" t="str">
        <x:v>ORD-00053</x:v>
      </x:c>
      <x:c r="B54" s="10" t="n">
        <x:v>46044</x:v>
      </x:c>
      <x:c r="C54" t="str">
        <x:v>Southeast</x:v>
      </x:c>
      <x:c r="D54" t="str">
        <x:v>Accessories</x:v>
      </x:c>
      <x:c r="E54" t="str">
        <x:v>USB-C Hub</x:v>
      </x:c>
      <x:c r="F54" t="str">
        <x:v>Ana</x:v>
      </x:c>
      <x:c r="G54" t="n">
        <x:v>4</x:v>
      </x:c>
      <x:c r="H54" s="12" t="n">
        <x:v>68.62</x:v>
      </x:c>
      <x:c r="I54" s="14" t="n">
        <x:v>0.1</x:v>
      </x:c>
      <x:c r="J54" s="12" t="n">
        <x:v>31.68</x:v>
      </x:c>
      <x:c r="K54" s="12" t="n">
        <x:f>G54*H54*(1-I54)</x:f>
        <x:v>247.032</x:v>
      </x:c>
      <x:c r="L54" s="12" t="n">
        <x:f>K54-(G54*J54)</x:f>
        <x:v>120.31200000000001</x:v>
      </x:c>
      <x:c r="M54" s="16" t="n">
        <x:f>IFERROR(L54/K54,0)</x:f>
        <x:v>0.4870300204022151</x:v>
      </x:c>
    </x:row>
    <x:row r="55">
      <x:c r="A55" t="str">
        <x:v>ORD-00054</x:v>
      </x:c>
      <x:c r="B55" s="10" t="n">
        <x:v>46034</x:v>
      </x:c>
      <x:c r="C55" t="str">
        <x:v>Southeast</x:v>
      </x:c>
      <x:c r="D55" t="str">
        <x:v>Home</x:v>
      </x:c>
      <x:c r="E55" t="str">
        <x:v>Smart Lamp</x:v>
      </x:c>
      <x:c r="F55" t="str">
        <x:v>Felipe</x:v>
      </x:c>
      <x:c r="G55" t="n">
        <x:v>2</x:v>
      </x:c>
      <x:c r="H55" s="12" t="n">
        <x:v>67.58</x:v>
      </x:c>
      <x:c r="I55" s="14" t="n">
        <x:v>0.05</x:v>
      </x:c>
      <x:c r="J55" s="12" t="n">
        <x:v>29.25</x:v>
      </x:c>
      <x:c r="K55" s="12" t="n">
        <x:f>G55*H55*(1-I55)</x:f>
        <x:v>128.402</x:v>
      </x:c>
      <x:c r="L55" s="12" t="n">
        <x:f>K55-(G55*J55)</x:f>
        <x:v>69.90199999999999</x:v>
      </x:c>
      <x:c r="M55" s="16" t="n">
        <x:f>IFERROR(L55/K55,0)</x:f>
        <x:v>0.5443996199436145</x:v>
      </x:c>
    </x:row>
    <x:row r="56">
      <x:c r="A56" t="str">
        <x:v>ORD-00055</x:v>
      </x:c>
      <x:c r="B56" s="10" t="n">
        <x:v>46201</x:v>
      </x:c>
      <x:c r="C56" t="str">
        <x:v>South</x:v>
      </x:c>
      <x:c r="D56" t="str">
        <x:v>Home</x:v>
      </x:c>
      <x:c r="E56" t="str">
        <x:v>Air Purifier</x:v>
      </x:c>
      <x:c r="F56" t="str">
        <x:v>Ana</x:v>
      </x:c>
      <x:c r="G56" t="n">
        <x:v>3</x:v>
      </x:c>
      <x:c r="H56" s="12" t="n">
        <x:v>172.89</x:v>
      </x:c>
      <x:c r="I56" s="14" t="n">
        <x:v>0.1</x:v>
      </x:c>
      <x:c r="J56" s="12" t="n">
        <x:v>111.93</x:v>
      </x:c>
      <x:c r="K56" s="12" t="n">
        <x:f>G56*H56*(1-I56)</x:f>
        <x:v>466.803</x:v>
      </x:c>
      <x:c r="L56" s="12" t="n">
        <x:f>K56-(G56*J56)</x:f>
        <x:v>131.01299999999998</x:v>
      </x:c>
      <x:c r="M56" s="16" t="n">
        <x:f>IFERROR(L56/K56,0)</x:f>
        <x:v>0.28066014999903593</x:v>
      </x:c>
    </x:row>
    <x:row r="57">
      <x:c r="A57" t="str">
        <x:v>ORD-00056</x:v>
      </x:c>
      <x:c r="B57" s="10" t="n">
        <x:v>46222</x:v>
      </x:c>
      <x:c r="C57" t="str">
        <x:v>South</x:v>
      </x:c>
      <x:c r="D57" t="str">
        <x:v>Office</x:v>
      </x:c>
      <x:c r="E57" t="str">
        <x:v>Desk Lamp</x:v>
      </x:c>
      <x:c r="F57" t="str">
        <x:v>Diego</x:v>
      </x:c>
      <x:c r="G57" t="n">
        <x:v>8</x:v>
      </x:c>
      <x:c r="H57" s="12" t="n">
        <x:v>54.03</x:v>
      </x:c>
      <x:c r="I57" s="14" t="n">
        <x:v>0</x:v>
      </x:c>
      <x:c r="J57" s="12" t="n">
        <x:v>24.54</x:v>
      </x:c>
      <x:c r="K57" s="12" t="n">
        <x:f>G57*H57*(1-I57)</x:f>
        <x:v>432.24</x:v>
      </x:c>
      <x:c r="L57" s="12" t="n">
        <x:f>K57-(G57*J57)</x:f>
        <x:v>235.92000000000002</x:v>
      </x:c>
      <x:c r="M57" s="16" t="n">
        <x:f>IFERROR(L57/K57,0)</x:f>
        <x:v>0.5458078845086064</x:v>
      </x:c>
    </x:row>
    <x:row r="58">
      <x:c r="A58" t="str">
        <x:v>ORD-00057</x:v>
      </x:c>
      <x:c r="B58" s="10" t="n">
        <x:v>46057</x:v>
      </x:c>
      <x:c r="C58" t="str">
        <x:v>Midwest</x:v>
      </x:c>
      <x:c r="D58" t="str">
        <x:v>Accessories</x:v>
      </x:c>
      <x:c r="E58" t="str">
        <x:v>Backpack</x:v>
      </x:c>
      <x:c r="F58" t="str">
        <x:v>Felipe</x:v>
      </x:c>
      <x:c r="G58" t="n">
        <x:v>7</x:v>
      </x:c>
      <x:c r="H58" s="12" t="n">
        <x:v>85.79</x:v>
      </x:c>
      <x:c r="I58" s="14" t="n">
        <x:v>0.15</x:v>
      </x:c>
      <x:c r="J58" s="12" t="n">
        <x:v>43.04</x:v>
      </x:c>
      <x:c r="K58" s="12" t="n">
        <x:f>G58*H58*(1-I58)</x:f>
        <x:v>510.45050000000003</x:v>
      </x:c>
      <x:c r="L58" s="12" t="n">
        <x:f>K58-(G58*J58)</x:f>
        <x:v>209.17050000000006</x:v>
      </x:c>
      <x:c r="M58" s="16" t="n">
        <x:f>IFERROR(L58/K58,0)</x:f>
        <x:v>0.4097762662589224</x:v>
      </x:c>
    </x:row>
    <x:row r="59">
      <x:c r="A59" t="str">
        <x:v>ORD-00058</x:v>
      </x:c>
      <x:c r="B59" s="10" t="n">
        <x:v>46243</x:v>
      </x:c>
      <x:c r="C59" t="str">
        <x:v>South</x:v>
      </x:c>
      <x:c r="D59" t="str">
        <x:v>Accessories</x:v>
      </x:c>
      <x:c r="E59" t="str">
        <x:v>USB-C Hub</x:v>
      </x:c>
      <x:c r="F59" t="str">
        <x:v>Carla</x:v>
      </x:c>
      <x:c r="G59" t="n">
        <x:v>5</x:v>
      </x:c>
      <x:c r="H59" s="12" t="n">
        <x:v>70.48</x:v>
      </x:c>
      <x:c r="I59" s="14" t="n">
        <x:v>0.1</x:v>
      </x:c>
      <x:c r="J59" s="12" t="n">
        <x:v>32.36</x:v>
      </x:c>
      <x:c r="K59" s="12" t="n">
        <x:f>G59*H59*(1-I59)</x:f>
        <x:v>317.16</x:v>
      </x:c>
      <x:c r="L59" s="12" t="n">
        <x:f>K59-(G59*J59)</x:f>
        <x:v>155.36</x:v>
      </x:c>
      <x:c r="M59" s="16" t="n">
        <x:f>IFERROR(L59/K59,0)</x:f>
        <x:v>0.48984739563627194</x:v>
      </x:c>
    </x:row>
    <x:row r="60">
      <x:c r="A60" t="str">
        <x:v>ORD-00059</x:v>
      </x:c>
      <x:c r="B60" s="10" t="n">
        <x:v>46135</x:v>
      </x:c>
      <x:c r="C60" t="str">
        <x:v>Southeast</x:v>
      </x:c>
      <x:c r="D60" t="str">
        <x:v>Accessories</x:v>
      </x:c>
      <x:c r="E60" t="str">
        <x:v>USB-C Hub</x:v>
      </x:c>
      <x:c r="F60" t="str">
        <x:v>Bruno</x:v>
      </x:c>
      <x:c r="G60" t="n">
        <x:v>5</x:v>
      </x:c>
      <x:c r="H60" s="12" t="n">
        <x:v>72.83</x:v>
      </x:c>
      <x:c r="I60" s="14" t="n">
        <x:v>0</x:v>
      </x:c>
      <x:c r="J60" s="12" t="n">
        <x:v>31.49</x:v>
      </x:c>
      <x:c r="K60" s="12" t="n">
        <x:f>G60*H60*(1-I60)</x:f>
        <x:v>364.15</x:v>
      </x:c>
      <x:c r="L60" s="12" t="n">
        <x:f>K60-(G60*J60)</x:f>
        <x:v>206.7</x:v>
      </x:c>
      <x:c r="M60" s="16" t="n">
        <x:f>IFERROR(L60/K60,0)</x:f>
        <x:v>0.5676232321845394</x:v>
      </x:c>
    </x:row>
    <x:row r="61">
      <x:c r="A61" t="str">
        <x:v>ORD-00060</x:v>
      </x:c>
      <x:c r="B61" s="10" t="n">
        <x:v>46082</x:v>
      </x:c>
      <x:c r="C61" t="str">
        <x:v>South</x:v>
      </x:c>
      <x:c r="D61" t="str">
        <x:v>Office</x:v>
      </x:c>
      <x:c r="E61" t="str">
        <x:v>Desk Lamp</x:v>
      </x:c>
      <x:c r="F61" t="str">
        <x:v>Diego</x:v>
      </x:c>
      <x:c r="G61" t="n">
        <x:v>4</x:v>
      </x:c>
      <x:c r="H61" s="12" t="n">
        <x:v>54.82</x:v>
      </x:c>
      <x:c r="I61" s="14" t="n">
        <x:v>0</x:v>
      </x:c>
      <x:c r="J61" s="12" t="n">
        <x:v>24.17</x:v>
      </x:c>
      <x:c r="K61" s="12" t="n">
        <x:f>G61*H61*(1-I61)</x:f>
        <x:v>219.28</x:v>
      </x:c>
      <x:c r="L61" s="12" t="n">
        <x:f>K61-(G61*J61)</x:f>
        <x:v>122.6</x:v>
      </x:c>
      <x:c r="M61" s="16" t="n">
        <x:f>IFERROR(L61/K61,0)</x:f>
        <x:v>0.5591025173294418</x:v>
      </x:c>
    </x:row>
    <x:row r="62">
      <x:c r="A62" t="str">
        <x:v>ORD-00061</x:v>
      </x:c>
      <x:c r="B62" s="10" t="n">
        <x:v>46038</x:v>
      </x:c>
      <x:c r="C62" t="str">
        <x:v>Southeast</x:v>
      </x:c>
      <x:c r="D62" t="str">
        <x:v>Home</x:v>
      </x:c>
      <x:c r="E62" t="str">
        <x:v>Coffee Maker</x:v>
      </x:c>
      <x:c r="F62" t="str">
        <x:v>Ana</x:v>
      </x:c>
      <x:c r="G62" t="n">
        <x:v>1</x:v>
      </x:c>
      <x:c r="H62" s="12" t="n">
        <x:v>128.61</x:v>
      </x:c>
      <x:c r="I62" s="14" t="n">
        <x:v>0.15</x:v>
      </x:c>
      <x:c r="J62" s="12" t="n">
        <x:v>71.93</x:v>
      </x:c>
      <x:c r="K62" s="12" t="n">
        <x:f>G62*H62*(1-I62)</x:f>
        <x:v>109.31850000000001</x:v>
      </x:c>
      <x:c r="L62" s="12" t="n">
        <x:f>K62-(G62*J62)</x:f>
        <x:v>37.38850000000001</x:v>
      </x:c>
      <x:c r="M62" s="16" t="n">
        <x:f>IFERROR(L62/K62,0)</x:f>
        <x:v>0.34201438914730814</x:v>
      </x:c>
    </x:row>
    <x:row r="63">
      <x:c r="A63" t="str">
        <x:v>ORD-00062</x:v>
      </x:c>
      <x:c r="B63" s="10" t="n">
        <x:v>46264</x:v>
      </x:c>
      <x:c r="C63" t="str">
        <x:v>Southeast</x:v>
      </x:c>
      <x:c r="D63" t="str">
        <x:v>Home</x:v>
      </x:c>
      <x:c r="E63" t="str">
        <x:v>Coffee Maker</x:v>
      </x:c>
      <x:c r="F63" t="str">
        <x:v>Diego</x:v>
      </x:c>
      <x:c r="G63" t="n">
        <x:v>4</x:v>
      </x:c>
      <x:c r="H63" s="12" t="n">
        <x:v>123.07</x:v>
      </x:c>
      <x:c r="I63" s="14" t="n">
        <x:v>0.05</x:v>
      </x:c>
      <x:c r="J63" s="12" t="n">
        <x:v>72.31</x:v>
      </x:c>
      <x:c r="K63" s="12" t="n">
        <x:f>G63*H63*(1-I63)</x:f>
        <x:v>467.66599999999994</x:v>
      </x:c>
      <x:c r="L63" s="12" t="n">
        <x:f>K63-(G63*J63)</x:f>
        <x:v>178.42599999999993</x:v>
      </x:c>
      <x:c r="M63" s="16" t="n">
        <x:f>IFERROR(L63/K63,0)</x:f>
        <x:v>0.3815244212750124</x:v>
      </x:c>
    </x:row>
    <x:row r="64">
      <x:c r="A64" t="str">
        <x:v>ORD-00063</x:v>
      </x:c>
      <x:c r="B64" s="10" t="n">
        <x:v>46109</x:v>
      </x:c>
      <x:c r="C64" t="str">
        <x:v>Northeast</x:v>
      </x:c>
      <x:c r="D64" t="str">
        <x:v>Home</x:v>
      </x:c>
      <x:c r="E64" t="str">
        <x:v>Smart Lamp</x:v>
      </x:c>
      <x:c r="F64" t="str">
        <x:v>Elisa</x:v>
      </x:c>
      <x:c r="G64" t="n">
        <x:v>3</x:v>
      </x:c>
      <x:c r="H64" s="12" t="n">
        <x:v>67.78</x:v>
      </x:c>
      <x:c r="I64" s="14" t="n">
        <x:v>0.15</x:v>
      </x:c>
      <x:c r="J64" s="12" t="n">
        <x:v>29.84</x:v>
      </x:c>
      <x:c r="K64" s="12" t="n">
        <x:f>G64*H64*(1-I64)</x:f>
        <x:v>172.839</x:v>
      </x:c>
      <x:c r="L64" s="12" t="n">
        <x:f>K64-(G64*J64)</x:f>
        <x:v>83.319</x:v>
      </x:c>
      <x:c r="M64" s="16" t="n">
        <x:f>IFERROR(L64/K64,0)</x:f>
        <x:v>0.4820613403224967</x:v>
      </x:c>
    </x:row>
    <x:row r="65">
      <x:c r="A65" t="str">
        <x:v>ORD-00064</x:v>
      </x:c>
      <x:c r="B65" s="10" t="n">
        <x:v>46029</x:v>
      </x:c>
      <x:c r="C65" t="str">
        <x:v>North</x:v>
      </x:c>
      <x:c r="D65" t="str">
        <x:v>Technology</x:v>
      </x:c>
      <x:c r="E65" t="str">
        <x:v>Laptop Pro</x:v>
      </x:c>
      <x:c r="F65" t="str">
        <x:v>Diego</x:v>
      </x:c>
      <x:c r="G65" t="n">
        <x:v>7</x:v>
      </x:c>
      <x:c r="H65" s="12" t="n">
        <x:v>1201.86</x:v>
      </x:c>
      <x:c r="I65" s="14" t="n">
        <x:v>0</x:v>
      </x:c>
      <x:c r="J65" s="12" t="n">
        <x:v>835.14</x:v>
      </x:c>
      <x:c r="K65" s="12" t="n">
        <x:f>G65*H65*(1-I65)</x:f>
        <x:v>8413.019999999999</x:v>
      </x:c>
      <x:c r="L65" s="12" t="n">
        <x:f>K65-(G65*J65)</x:f>
        <x:v>2567.039999999999</x:v>
      </x:c>
      <x:c r="M65" s="16" t="n">
        <x:f>IFERROR(L65/K65,0)</x:f>
        <x:v>0.30512705306774496</x:v>
      </x:c>
    </x:row>
    <x:row r="66">
      <x:c r="A66" t="str">
        <x:v>ORD-00065</x:v>
      </x:c>
      <x:c r="B66" s="10" t="n">
        <x:v>46106</x:v>
      </x:c>
      <x:c r="C66" t="str">
        <x:v>Southeast</x:v>
      </x:c>
      <x:c r="D66" t="str">
        <x:v>Accessories</x:v>
      </x:c>
      <x:c r="E66" t="str">
        <x:v>Backpack</x:v>
      </x:c>
      <x:c r="F66" t="str">
        <x:v>Ana</x:v>
      </x:c>
      <x:c r="G66" t="n">
        <x:v>7</x:v>
      </x:c>
      <x:c r="H66" s="12" t="n">
        <x:v>88.88</x:v>
      </x:c>
      <x:c r="I66" s="14" t="n">
        <x:v>0</x:v>
      </x:c>
      <x:c r="J66" s="12" t="n">
        <x:v>42.05</x:v>
      </x:c>
      <x:c r="K66" s="12" t="n">
        <x:f>G66*H66*(1-I66)</x:f>
        <x:v>622.16</x:v>
      </x:c>
      <x:c r="L66" s="12" t="n">
        <x:f>K66-(G66*J66)</x:f>
        <x:v>327.81</x:v>
      </x:c>
      <x:c r="M66" s="16" t="n">
        <x:f>IFERROR(L66/K66,0)</x:f>
        <x:v>0.5268901890189019</x:v>
      </x:c>
    </x:row>
    <x:row r="67">
      <x:c r="A67" t="str">
        <x:v>ORD-00066</x:v>
      </x:c>
      <x:c r="B67" s="10" t="n">
        <x:v>46143</x:v>
      </x:c>
      <x:c r="C67" t="str">
        <x:v>Southeast</x:v>
      </x:c>
      <x:c r="D67" t="str">
        <x:v>Technology</x:v>
      </x:c>
      <x:c r="E67" t="str">
        <x:v>Wireless Mouse</x:v>
      </x:c>
      <x:c r="F67" t="str">
        <x:v>Ana</x:v>
      </x:c>
      <x:c r="G67" t="n">
        <x:v>4</x:v>
      </x:c>
      <x:c r="H67" s="12" t="n">
        <x:v>36.06</x:v>
      </x:c>
      <x:c r="I67" s="14" t="n">
        <x:v>0.1</x:v>
      </x:c>
      <x:c r="J67" s="12" t="n">
        <x:v>16.2</x:v>
      </x:c>
      <x:c r="K67" s="12" t="n">
        <x:f>G67*H67*(1-I67)</x:f>
        <x:v>129.816</x:v>
      </x:c>
      <x:c r="L67" s="12" t="n">
        <x:f>K67-(G67*J67)</x:f>
        <x:v>65.016</x:v>
      </x:c>
      <x:c r="M67" s="16" t="n">
        <x:f>IFERROR(L67/K67,0)</x:f>
        <x:v>0.5008319467554077</x:v>
      </x:c>
    </x:row>
    <x:row r="68">
      <x:c r="A68" t="str">
        <x:v>ORD-00067</x:v>
      </x:c>
      <x:c r="B68" s="10" t="n">
        <x:v>46086</x:v>
      </x:c>
      <x:c r="C68" t="str">
        <x:v>Southeast</x:v>
      </x:c>
      <x:c r="D68" t="str">
        <x:v>Technology</x:v>
      </x:c>
      <x:c r="E68" t="str">
        <x:v>Monitor 27</x:v>
      </x:c>
      <x:c r="F68" t="str">
        <x:v>Bruno</x:v>
      </x:c>
      <x:c r="G68" t="n">
        <x:v>3</x:v>
      </x:c>
      <x:c r="H68" s="12" t="n">
        <x:v>290.76</x:v>
      </x:c>
      <x:c r="I68" s="14" t="n">
        <x:v>0</x:v>
      </x:c>
      <x:c r="J68" s="12" t="n">
        <x:v>177.43</x:v>
      </x:c>
      <x:c r="K68" s="12" t="n">
        <x:f>G68*H68*(1-I68)</x:f>
        <x:v>872.28</x:v>
      </x:c>
      <x:c r="L68" s="12" t="n">
        <x:f>K68-(G68*J68)</x:f>
        <x:v>339.99</x:v>
      </x:c>
      <x:c r="M68" s="16" t="n">
        <x:f>IFERROR(L68/K68,0)</x:f>
        <x:v>0.389771632961893</x:v>
      </x:c>
    </x:row>
    <x:row r="69">
      <x:c r="A69" t="str">
        <x:v>ORD-00068</x:v>
      </x:c>
      <x:c r="B69" s="10" t="n">
        <x:v>46142</x:v>
      </x:c>
      <x:c r="C69" t="str">
        <x:v>Northeast</x:v>
      </x:c>
      <x:c r="D69" t="str">
        <x:v>Accessories</x:v>
      </x:c>
      <x:c r="E69" t="str">
        <x:v>USB-C Hub</x:v>
      </x:c>
      <x:c r="F69" t="str">
        <x:v>Elisa</x:v>
      </x:c>
      <x:c r="G69" t="n">
        <x:v>2</x:v>
      </x:c>
      <x:c r="H69" s="12" t="n">
        <x:v>68.23</x:v>
      </x:c>
      <x:c r="I69" s="14" t="n">
        <x:v>0.1</x:v>
      </x:c>
      <x:c r="J69" s="12" t="n">
        <x:v>31.86</x:v>
      </x:c>
      <x:c r="K69" s="12" t="n">
        <x:f>G69*H69*(1-I69)</x:f>
        <x:v>122.81400000000001</x:v>
      </x:c>
      <x:c r="L69" s="12" t="n">
        <x:f>K69-(G69*J69)</x:f>
        <x:v>59.09400000000001</x:v>
      </x:c>
      <x:c r="M69" s="16" t="n">
        <x:f>IFERROR(L69/K69,0)</x:f>
        <x:v>0.48116664223948413</x:v>
      </x:c>
    </x:row>
    <x:row r="70">
      <x:c r="A70" t="str">
        <x:v>ORD-00069</x:v>
      </x:c>
      <x:c r="B70" s="10" t="n">
        <x:v>46029</x:v>
      </x:c>
      <x:c r="C70" t="str">
        <x:v>North</x:v>
      </x:c>
      <x:c r="D70" t="str">
        <x:v>Home</x:v>
      </x:c>
      <x:c r="E70" t="str">
        <x:v>Coffee Maker</x:v>
      </x:c>
      <x:c r="F70" t="str">
        <x:v>Ana</x:v>
      </x:c>
      <x:c r="G70" t="n">
        <x:v>4</x:v>
      </x:c>
      <x:c r="H70" s="12" t="n">
        <x:v>127.77</x:v>
      </x:c>
      <x:c r="I70" s="14" t="n">
        <x:v>0</x:v>
      </x:c>
      <x:c r="J70" s="12" t="n">
        <x:v>72.82</x:v>
      </x:c>
      <x:c r="K70" s="12" t="n">
        <x:f>G70*H70*(1-I70)</x:f>
        <x:v>511.08</x:v>
      </x:c>
      <x:c r="L70" s="12" t="n">
        <x:f>K70-(G70*J70)</x:f>
        <x:v>219.8</x:v>
      </x:c>
      <x:c r="M70" s="16" t="n">
        <x:f>IFERROR(L70/K70,0)</x:f>
        <x:v>0.4300696564138687</x:v>
      </x:c>
    </x:row>
    <x:row r="71">
      <x:c r="A71" t="str">
        <x:v>ORD-00070</x:v>
      </x:c>
      <x:c r="B71" s="10" t="n">
        <x:v>46201</x:v>
      </x:c>
      <x:c r="C71" t="str">
        <x:v>Midwest</x:v>
      </x:c>
      <x:c r="D71" t="str">
        <x:v>Technology</x:v>
      </x:c>
      <x:c r="E71" t="str">
        <x:v>Monitor 27</x:v>
      </x:c>
      <x:c r="F71" t="str">
        <x:v>Elisa</x:v>
      </x:c>
      <x:c r="G71" t="n">
        <x:v>1</x:v>
      </x:c>
      <x:c r="H71" s="12" t="n">
        <x:v>289.58</x:v>
      </x:c>
      <x:c r="I71" s="14" t="n">
        <x:v>0</x:v>
      </x:c>
      <x:c r="J71" s="12" t="n">
        <x:v>179.74</x:v>
      </x:c>
      <x:c r="K71" s="12" t="n">
        <x:f>G71*H71*(1-I71)</x:f>
        <x:v>289.58</x:v>
      </x:c>
      <x:c r="L71" s="12" t="n">
        <x:f>K71-(G71*J71)</x:f>
        <x:v>109.83999999999997</x:v>
      </x:c>
      <x:c r="M71" s="16" t="n">
        <x:f>IFERROR(L71/K71,0)</x:f>
        <x:v>0.37930796325713095</x:v>
      </x:c>
    </x:row>
    <x:row r="72">
      <x:c r="A72" t="str">
        <x:v>ORD-00071</x:v>
      </x:c>
      <x:c r="B72" s="10" t="n">
        <x:v>46188</x:v>
      </x:c>
      <x:c r="C72" t="str">
        <x:v>Southeast</x:v>
      </x:c>
      <x:c r="D72" t="str">
        <x:v>Home</x:v>
      </x:c>
      <x:c r="E72" t="str">
        <x:v>Coffee Maker</x:v>
      </x:c>
      <x:c r="F72" t="str">
        <x:v>Diego</x:v>
      </x:c>
      <x:c r="G72" t="n">
        <x:v>2</x:v>
      </x:c>
      <x:c r="H72" s="12" t="n">
        <x:v>124.07</x:v>
      </x:c>
      <x:c r="I72" s="14" t="n">
        <x:v>0.05</x:v>
      </x:c>
      <x:c r="J72" s="12" t="n">
        <x:v>73.77</x:v>
      </x:c>
      <x:c r="K72" s="12" t="n">
        <x:f>G72*H72*(1-I72)</x:f>
        <x:v>235.73299999999998</x:v>
      </x:c>
      <x:c r="L72" s="12" t="n">
        <x:f>K72-(G72*J72)</x:f>
        <x:v>88.19299999999998</x:v>
      </x:c>
      <x:c r="M72" s="16" t="n">
        <x:f>IFERROR(L72/K72,0)</x:f>
        <x:v>0.3741224181595279</x:v>
      </x:c>
    </x:row>
    <x:row r="73">
      <x:c r="A73" t="str">
        <x:v>ORD-00072</x:v>
      </x:c>
      <x:c r="B73" s="10" t="n">
        <x:v>46204</x:v>
      </x:c>
      <x:c r="C73" t="str">
        <x:v>Southeast</x:v>
      </x:c>
      <x:c r="D73" t="str">
        <x:v>Office</x:v>
      </x:c>
      <x:c r="E73" t="str">
        <x:v>Desk Lamp</x:v>
      </x:c>
      <x:c r="F73" t="str">
        <x:v>Diego</x:v>
      </x:c>
      <x:c r="G73" t="n">
        <x:v>5</x:v>
      </x:c>
      <x:c r="H73" s="12" t="n">
        <x:v>57.35</x:v>
      </x:c>
      <x:c r="I73" s="14" t="n">
        <x:v>0.1</x:v>
      </x:c>
      <x:c r="J73" s="12" t="n">
        <x:v>24.45</x:v>
      </x:c>
      <x:c r="K73" s="12" t="n">
        <x:f>G73*H73*(1-I73)</x:f>
        <x:v>258.075</x:v>
      </x:c>
      <x:c r="L73" s="12" t="n">
        <x:f>K73-(G73*J73)</x:f>
        <x:v>135.825</x:v>
      </x:c>
      <x:c r="M73" s="16" t="n">
        <x:f>IFERROR(L73/K73,0)</x:f>
        <x:v>0.5263004940424295</x:v>
      </x:c>
    </x:row>
    <x:row r="74">
      <x:c r="A74" t="str">
        <x:v>ORD-00073</x:v>
      </x:c>
      <x:c r="B74" s="10" t="n">
        <x:v>46134</x:v>
      </x:c>
      <x:c r="C74" t="str">
        <x:v>Midwest</x:v>
      </x:c>
      <x:c r="D74" t="str">
        <x:v>Accessories</x:v>
      </x:c>
      <x:c r="E74" t="str">
        <x:v>Backpack</x:v>
      </x:c>
      <x:c r="F74" t="str">
        <x:v>Bruno</x:v>
      </x:c>
      <x:c r="G74" t="n">
        <x:v>4</x:v>
      </x:c>
      <x:c r="H74" s="12" t="n">
        <x:v>82.26</x:v>
      </x:c>
      <x:c r="I74" s="14" t="n">
        <x:v>0.15</x:v>
      </x:c>
      <x:c r="J74" s="12" t="n">
        <x:v>43.01</x:v>
      </x:c>
      <x:c r="K74" s="12" t="n">
        <x:f>G74*H74*(1-I74)</x:f>
        <x:v>279.684</x:v>
      </x:c>
      <x:c r="L74" s="12" t="n">
        <x:f>K74-(G74*J74)</x:f>
        <x:v>107.64400000000003</x:v>
      </x:c>
      <x:c r="M74" s="16" t="n">
        <x:f>IFERROR(L74/K74,0)</x:f>
        <x:v>0.3848772185752493</x:v>
      </x:c>
    </x:row>
    <x:row r="75">
      <x:c r="A75" t="str">
        <x:v>ORD-00074</x:v>
      </x:c>
      <x:c r="B75" s="10" t="n">
        <x:v>46215</x:v>
      </x:c>
      <x:c r="C75" t="str">
        <x:v>South</x:v>
      </x:c>
      <x:c r="D75" t="str">
        <x:v>Home</x:v>
      </x:c>
      <x:c r="E75" t="str">
        <x:v>Coffee Maker</x:v>
      </x:c>
      <x:c r="F75" t="str">
        <x:v>Carla</x:v>
      </x:c>
      <x:c r="G75" t="n">
        <x:v>1</x:v>
      </x:c>
      <x:c r="H75" s="12" t="n">
        <x:v>123.66</x:v>
      </x:c>
      <x:c r="I75" s="14" t="n">
        <x:v>0.05</x:v>
      </x:c>
      <x:c r="J75" s="12" t="n">
        <x:v>72.32</x:v>
      </x:c>
      <x:c r="K75" s="12" t="n">
        <x:f>G75*H75*(1-I75)</x:f>
        <x:v>117.47699999999999</x:v>
      </x:c>
      <x:c r="L75" s="12" t="n">
        <x:f>K75-(G75*J75)</x:f>
        <x:v>45.157</x:v>
      </x:c>
      <x:c r="M75" s="16" t="n">
        <x:f>IFERROR(L75/K75,0)</x:f>
        <x:v>0.38439013594150345</x:v>
      </x:c>
    </x:row>
    <x:row r="76">
      <x:c r="A76" t="str">
        <x:v>ORD-00075</x:v>
      </x:c>
      <x:c r="B76" s="10" t="n">
        <x:v>46227</x:v>
      </x:c>
      <x:c r="C76" t="str">
        <x:v>Southeast</x:v>
      </x:c>
      <x:c r="D76" t="str">
        <x:v>Accessories</x:v>
      </x:c>
      <x:c r="E76" t="str">
        <x:v>Webcam HD</x:v>
      </x:c>
      <x:c r="F76" t="str">
        <x:v>Bruno</x:v>
      </x:c>
      <x:c r="G76" t="n">
        <x:v>5</x:v>
      </x:c>
      <x:c r="H76" s="12" t="n">
        <x:v>95.62</x:v>
      </x:c>
      <x:c r="I76" s="14" t="n">
        <x:v>0.05</x:v>
      </x:c>
      <x:c r="J76" s="12" t="n">
        <x:v>47.5</x:v>
      </x:c>
      <x:c r="K76" s="12" t="n">
        <x:f>G76*H76*(1-I76)</x:f>
        <x:v>454.195</x:v>
      </x:c>
      <x:c r="L76" s="12" t="n">
        <x:f>K76-(G76*J76)</x:f>
        <x:v>216.695</x:v>
      </x:c>
      <x:c r="M76" s="16" t="n">
        <x:f>IFERROR(L76/K76,0)</x:f>
        <x:v>0.47709684166492367</x:v>
      </x:c>
    </x:row>
    <x:row r="77">
      <x:c r="A77" t="str">
        <x:v>ORD-00076</x:v>
      </x:c>
      <x:c r="B77" s="10" t="n">
        <x:v>46207</x:v>
      </x:c>
      <x:c r="C77" t="str">
        <x:v>South</x:v>
      </x:c>
      <x:c r="D77" t="str">
        <x:v>Office</x:v>
      </x:c>
      <x:c r="E77" t="str">
        <x:v>Desk Lamp</x:v>
      </x:c>
      <x:c r="F77" t="str">
        <x:v>Ana</x:v>
      </x:c>
      <x:c r="G77" t="n">
        <x:v>8</x:v>
      </x:c>
      <x:c r="H77" s="12" t="n">
        <x:v>55.23</x:v>
      </x:c>
      <x:c r="I77" s="14" t="n">
        <x:v>0.1</x:v>
      </x:c>
      <x:c r="J77" s="12" t="n">
        <x:v>24.47</x:v>
      </x:c>
      <x:c r="K77" s="12" t="n">
        <x:f>G77*H77*(1-I77)</x:f>
        <x:v>397.656</x:v>
      </x:c>
      <x:c r="L77" s="12" t="n">
        <x:f>K77-(G77*J77)</x:f>
        <x:v>201.89600000000002</x:v>
      </x:c>
      <x:c r="M77" s="16" t="n">
        <x:f>IFERROR(L77/K77,0)</x:f>
        <x:v>0.5077152111372644</x:v>
      </x:c>
    </x:row>
    <x:row r="78">
      <x:c r="A78" t="str">
        <x:v>ORD-00077</x:v>
      </x:c>
      <x:c r="B78" s="10" t="n">
        <x:v>46098</x:v>
      </x:c>
      <x:c r="C78" t="str">
        <x:v>Southeast</x:v>
      </x:c>
      <x:c r="D78" t="str">
        <x:v>Office</x:v>
      </x:c>
      <x:c r="E78" t="str">
        <x:v>Standing Desk</x:v>
      </x:c>
      <x:c r="F78" t="str">
        <x:v>Felipe</x:v>
      </x:c>
      <x:c r="G78" t="n">
        <x:v>6</x:v>
      </x:c>
      <x:c r="H78" s="12" t="n">
        <x:v>423.27</x:v>
      </x:c>
      <x:c r="I78" s="14" t="n">
        <x:v>0.05</x:v>
      </x:c>
      <x:c r="J78" s="12" t="n">
        <x:v>270.34</x:v>
      </x:c>
      <x:c r="K78" s="12" t="n">
        <x:f>G78*H78*(1-I78)</x:f>
        <x:v>2412.6389999999997</x:v>
      </x:c>
      <x:c r="L78" s="12" t="n">
        <x:f>K78-(G78*J78)</x:f>
        <x:v>790.5989999999997</x:v>
      </x:c>
      <x:c r="M78" s="16" t="n">
        <x:f>IFERROR(L78/K78,0)</x:f>
        <x:v>0.32769054964294275</x:v>
      </x:c>
    </x:row>
    <x:row r="79">
      <x:c r="A79" t="str">
        <x:v>ORD-00078</x:v>
      </x:c>
      <x:c r="B79" s="10" t="n">
        <x:v>46163</x:v>
      </x:c>
      <x:c r="C79" t="str">
        <x:v>Southeast</x:v>
      </x:c>
      <x:c r="D79" t="str">
        <x:v>Home</x:v>
      </x:c>
      <x:c r="E79" t="str">
        <x:v>Coffee Maker</x:v>
      </x:c>
      <x:c r="F79" t="str">
        <x:v>Ana</x:v>
      </x:c>
      <x:c r="G79" t="n">
        <x:v>5</x:v>
      </x:c>
      <x:c r="H79" s="12" t="n">
        <x:v>121.36</x:v>
      </x:c>
      <x:c r="I79" s="14" t="n">
        <x:v>0</x:v>
      </x:c>
      <x:c r="J79" s="12" t="n">
        <x:v>71.25</x:v>
      </x:c>
      <x:c r="K79" s="12" t="n">
        <x:f>G79*H79*(1-I79)</x:f>
        <x:v>606.8</x:v>
      </x:c>
      <x:c r="L79" s="12" t="n">
        <x:f>K79-(G79*J79)</x:f>
        <x:v>250.54999999999995</x:v>
      </x:c>
      <x:c r="M79" s="16" t="n">
        <x:f>IFERROR(L79/K79,0)</x:f>
        <x:v>0.4129037574159525</x:v>
      </x:c>
    </x:row>
    <x:row r="80">
      <x:c r="A80" t="str">
        <x:v>ORD-00079</x:v>
      </x:c>
      <x:c r="B80" s="10" t="n">
        <x:v>46213</x:v>
      </x:c>
      <x:c r="C80" t="str">
        <x:v>South</x:v>
      </x:c>
      <x:c r="D80" t="str">
        <x:v>Office</x:v>
      </x:c>
      <x:c r="E80" t="str">
        <x:v>Office Chair</x:v>
      </x:c>
      <x:c r="F80" t="str">
        <x:v>Elisa</x:v>
      </x:c>
      <x:c r="G80" t="n">
        <x:v>4</x:v>
      </x:c>
      <x:c r="H80" s="12" t="n">
        <x:v>216.67</x:v>
      </x:c>
      <x:c r="I80" s="14" t="n">
        <x:v>0.1</x:v>
      </x:c>
      <x:c r="J80" s="12" t="n">
        <x:v>131.23</x:v>
      </x:c>
      <x:c r="K80" s="12" t="n">
        <x:f>G80*H80*(1-I80)</x:f>
        <x:v>780.012</x:v>
      </x:c>
      <x:c r="L80" s="12" t="n">
        <x:f>K80-(G80*J80)</x:f>
        <x:v>255.09199999999998</x:v>
      </x:c>
      <x:c r="M80" s="16" t="n">
        <x:f>IFERROR(L80/K80,0)</x:f>
        <x:v>0.32703599431803615</x:v>
      </x:c>
    </x:row>
    <x:row r="81">
      <x:c r="A81" t="str">
        <x:v>ORD-00080</x:v>
      </x:c>
      <x:c r="B81" s="10" t="n">
        <x:v>46175</x:v>
      </x:c>
      <x:c r="C81" t="str">
        <x:v>Southeast</x:v>
      </x:c>
      <x:c r="D81" t="str">
        <x:v>Technology</x:v>
      </x:c>
      <x:c r="E81" t="str">
        <x:v>Laptop Pro</x:v>
      </x:c>
      <x:c r="F81" t="str">
        <x:v>Elisa</x:v>
      </x:c>
      <x:c r="G81" t="n">
        <x:v>5</x:v>
      </x:c>
      <x:c r="H81" s="12" t="n">
        <x:v>1171.38</x:v>
      </x:c>
      <x:c r="I81" s="14" t="n">
        <x:v>0</x:v>
      </x:c>
      <x:c r="J81" s="12" t="n">
        <x:v>833.6</x:v>
      </x:c>
      <x:c r="K81" s="12" t="n">
        <x:f>G81*H81*(1-I81)</x:f>
        <x:v>5856.900000000001</x:v>
      </x:c>
      <x:c r="L81" s="12" t="n">
        <x:f>K81-(G81*J81)</x:f>
        <x:v>1688.9000000000005</x:v>
      </x:c>
      <x:c r="M81" s="16" t="n">
        <x:f>IFERROR(L81/K81,0)</x:f>
        <x:v>0.2883607369086036</x:v>
      </x:c>
    </x:row>
    <x:row r="82">
      <x:c r="A82" t="str">
        <x:v>ORD-00081</x:v>
      </x:c>
      <x:c r="B82" s="10" t="n">
        <x:v>46055</x:v>
      </x:c>
      <x:c r="C82" t="str">
        <x:v>Southeast</x:v>
      </x:c>
      <x:c r="D82" t="str">
        <x:v>Technology</x:v>
      </x:c>
      <x:c r="E82" t="str">
        <x:v>Monitor 27</x:v>
      </x:c>
      <x:c r="F82" t="str">
        <x:v>Diego</x:v>
      </x:c>
      <x:c r="G82" t="n">
        <x:v>5</x:v>
      </x:c>
      <x:c r="H82" s="12" t="n">
        <x:v>281.7</x:v>
      </x:c>
      <x:c r="I82" s="14" t="n">
        <x:v>0.1</x:v>
      </x:c>
      <x:c r="J82" s="12" t="n">
        <x:v>184.22</x:v>
      </x:c>
      <x:c r="K82" s="12" t="n">
        <x:f>G82*H82*(1-I82)</x:f>
        <x:v>1267.65</x:v>
      </x:c>
      <x:c r="L82" s="12" t="n">
        <x:f>K82-(G82*J82)</x:f>
        <x:v>346.55000000000007</x:v>
      </x:c>
      <x:c r="M82" s="16" t="n">
        <x:f>IFERROR(L82/K82,0)</x:f>
        <x:v>0.2733798761487793</x:v>
      </x:c>
    </x:row>
    <x:row r="83">
      <x:c r="A83" t="str">
        <x:v>ORD-00082</x:v>
      </x:c>
      <x:c r="B83" s="10" t="n">
        <x:v>46049</x:v>
      </x:c>
      <x:c r="C83" t="str">
        <x:v>Midwest</x:v>
      </x:c>
      <x:c r="D83" t="str">
        <x:v>Accessories</x:v>
      </x:c>
      <x:c r="E83" t="str">
        <x:v>Backpack</x:v>
      </x:c>
      <x:c r="F83" t="str">
        <x:v>Diego</x:v>
      </x:c>
      <x:c r="G83" t="n">
        <x:v>8</x:v>
      </x:c>
      <x:c r="H83" s="12" t="n">
        <x:v>83.01</x:v>
      </x:c>
      <x:c r="I83" s="14" t="n">
        <x:v>0.05</x:v>
      </x:c>
      <x:c r="J83" s="12" t="n">
        <x:v>41.27</x:v>
      </x:c>
      <x:c r="K83" s="12" t="n">
        <x:f>G83*H83*(1-I83)</x:f>
        <x:v>630.876</x:v>
      </x:c>
      <x:c r="L83" s="12" t="n">
        <x:f>K83-(G83*J83)</x:f>
        <x:v>300.71599999999995</x:v>
      </x:c>
      <x:c r="M83" s="16" t="n">
        <x:f>IFERROR(L83/K83,0)</x:f>
        <x:v>0.47666419391449344</x:v>
      </x:c>
    </x:row>
    <x:row r="84">
      <x:c r="A84" t="str">
        <x:v>ORD-00083</x:v>
      </x:c>
      <x:c r="B84" s="10" t="n">
        <x:v>46052</x:v>
      </x:c>
      <x:c r="C84" t="str">
        <x:v>Midwest</x:v>
      </x:c>
      <x:c r="D84" t="str">
        <x:v>Home</x:v>
      </x:c>
      <x:c r="E84" t="str">
        <x:v>Coffee Maker</x:v>
      </x:c>
      <x:c r="F84" t="str">
        <x:v>Elisa</x:v>
      </x:c>
      <x:c r="G84" t="n">
        <x:v>2</x:v>
      </x:c>
      <x:c r="H84" s="12" t="n">
        <x:v>127.72</x:v>
      </x:c>
      <x:c r="I84" s="14" t="n">
        <x:v>0.05</x:v>
      </x:c>
      <x:c r="J84" s="12" t="n">
        <x:v>71.11</x:v>
      </x:c>
      <x:c r="K84" s="12" t="n">
        <x:f>G84*H84*(1-I84)</x:f>
        <x:v>242.66799999999998</x:v>
      </x:c>
      <x:c r="L84" s="12" t="n">
        <x:f>K84-(G84*J84)</x:f>
        <x:v>100.44799999999998</x:v>
      </x:c>
      <x:c r="M84" s="16" t="n">
        <x:f>IFERROR(L84/K84,0)</x:f>
        <x:v>0.4139317915835627</x:v>
      </x:c>
    </x:row>
    <x:row r="85">
      <x:c r="A85" t="str">
        <x:v>ORD-00084</x:v>
      </x:c>
      <x:c r="B85" s="10" t="n">
        <x:v>46265</x:v>
      </x:c>
      <x:c r="C85" t="str">
        <x:v>Southeast</x:v>
      </x:c>
      <x:c r="D85" t="str">
        <x:v>Office</x:v>
      </x:c>
      <x:c r="E85" t="str">
        <x:v>Office Chair</x:v>
      </x:c>
      <x:c r="F85" t="str">
        <x:v>Elisa</x:v>
      </x:c>
      <x:c r="G85" t="n">
        <x:v>7</x:v>
      </x:c>
      <x:c r="H85" s="12" t="n">
        <x:v>226.86</x:v>
      </x:c>
      <x:c r="I85" s="14" t="n">
        <x:v>0.1</x:v>
      </x:c>
      <x:c r="J85" s="12" t="n">
        <x:v>128.87</x:v>
      </x:c>
      <x:c r="K85" s="12" t="n">
        <x:f>G85*H85*(1-I85)</x:f>
        <x:v>1429.218</x:v>
      </x:c>
      <x:c r="L85" s="12" t="n">
        <x:f>K85-(G85*J85)</x:f>
        <x:v>527.128</x:v>
      </x:c>
      <x:c r="M85" s="16" t="n">
        <x:f>IFERROR(L85/K85,0)</x:f>
        <x:v>0.36882267085916914</x:v>
      </x:c>
    </x:row>
    <x:row r="86">
      <x:c r="A86" t="str">
        <x:v>ORD-00085</x:v>
      </x:c>
      <x:c r="B86" s="10" t="n">
        <x:v>46120</x:v>
      </x:c>
      <x:c r="C86" t="str">
        <x:v>South</x:v>
      </x:c>
      <x:c r="D86" t="str">
        <x:v>Home</x:v>
      </x:c>
      <x:c r="E86" t="str">
        <x:v>Coffee Maker</x:v>
      </x:c>
      <x:c r="F86" t="str">
        <x:v>Felipe</x:v>
      </x:c>
      <x:c r="G86" t="n">
        <x:v>7</x:v>
      </x:c>
      <x:c r="H86" s="12" t="n">
        <x:v>126.99</x:v>
      </x:c>
      <x:c r="I86" s="14" t="n">
        <x:v>0</x:v>
      </x:c>
      <x:c r="J86" s="12" t="n">
        <x:v>72.75</x:v>
      </x:c>
      <x:c r="K86" s="12" t="n">
        <x:f>G86*H86*(1-I86)</x:f>
        <x:v>888.93</x:v>
      </x:c>
      <x:c r="L86" s="12" t="n">
        <x:f>K86-(G86*J86)</x:f>
        <x:v>379.67999999999995</x:v>
      </x:c>
      <x:c r="M86" s="16" t="n">
        <x:f>IFERROR(L86/K86,0)</x:f>
        <x:v>0.4271202456886369</x:v>
      </x:c>
    </x:row>
    <x:row r="87">
      <x:c r="A87" t="str">
        <x:v>ORD-00086</x:v>
      </x:c>
      <x:c r="B87" s="10" t="n">
        <x:v>46048</x:v>
      </x:c>
      <x:c r="C87" t="str">
        <x:v>North</x:v>
      </x:c>
      <x:c r="D87" t="str">
        <x:v>Office</x:v>
      </x:c>
      <x:c r="E87" t="str">
        <x:v>Desk Lamp</x:v>
      </x:c>
      <x:c r="F87" t="str">
        <x:v>Elisa</x:v>
      </x:c>
      <x:c r="G87" t="n">
        <x:v>4</x:v>
      </x:c>
      <x:c r="H87" s="12" t="n">
        <x:v>53.2</x:v>
      </x:c>
      <x:c r="I87" s="14" t="n">
        <x:v>0</x:v>
      </x:c>
      <x:c r="J87" s="12" t="n">
        <x:v>23.81</x:v>
      </x:c>
      <x:c r="K87" s="12" t="n">
        <x:f>G87*H87*(1-I87)</x:f>
        <x:v>212.8</x:v>
      </x:c>
      <x:c r="L87" s="12" t="n">
        <x:f>K87-(G87*J87)</x:f>
        <x:v>117.56000000000002</x:v>
      </x:c>
      <x:c r="M87" s="16" t="n">
        <x:f>IFERROR(L87/K87,0)</x:f>
        <x:v>0.5524436090225564</x:v>
      </x:c>
    </x:row>
    <x:row r="88">
      <x:c r="A88" t="str">
        <x:v>ORD-00087</x:v>
      </x:c>
      <x:c r="B88" s="10" t="n">
        <x:v>46042</x:v>
      </x:c>
      <x:c r="C88" t="str">
        <x:v>Southeast</x:v>
      </x:c>
      <x:c r="D88" t="str">
        <x:v>Home</x:v>
      </x:c>
      <x:c r="E88" t="str">
        <x:v>Coffee Maker</x:v>
      </x:c>
      <x:c r="F88" t="str">
        <x:v>Felipe</x:v>
      </x:c>
      <x:c r="G88" t="n">
        <x:v>8</x:v>
      </x:c>
      <x:c r="H88" s="12" t="n">
        <x:v>122.6</x:v>
      </x:c>
      <x:c r="I88" s="14" t="n">
        <x:v>0</x:v>
      </x:c>
      <x:c r="J88" s="12" t="n">
        <x:v>73.11</x:v>
      </x:c>
      <x:c r="K88" s="12" t="n">
        <x:f>G88*H88*(1-I88)</x:f>
        <x:v>980.8</x:v>
      </x:c>
      <x:c r="L88" s="12" t="n">
        <x:f>K88-(G88*J88)</x:f>
        <x:v>395.91999999999996</x:v>
      </x:c>
      <x:c r="M88" s="16" t="n">
        <x:f>IFERROR(L88/K88,0)</x:f>
        <x:v>0.40367047308319737</x:v>
      </x:c>
    </x:row>
    <x:row r="89">
      <x:c r="A89" t="str">
        <x:v>ORD-00088</x:v>
      </x:c>
      <x:c r="B89" s="10" t="n">
        <x:v>46243</x:v>
      </x:c>
      <x:c r="C89" t="str">
        <x:v>South</x:v>
      </x:c>
      <x:c r="D89" t="str">
        <x:v>Office</x:v>
      </x:c>
      <x:c r="E89" t="str">
        <x:v>Standing Desk</x:v>
      </x:c>
      <x:c r="F89" t="str">
        <x:v>Carla</x:v>
      </x:c>
      <x:c r="G89" t="n">
        <x:v>4</x:v>
      </x:c>
      <x:c r="H89" s="12" t="n">
        <x:v>423.78</x:v>
      </x:c>
      <x:c r="I89" s="14" t="n">
        <x:v>0.05</x:v>
      </x:c>
      <x:c r="J89" s="12" t="n">
        <x:v>273.34</x:v>
      </x:c>
      <x:c r="K89" s="12" t="n">
        <x:f>G89*H89*(1-I89)</x:f>
        <x:v>1610.3639999999998</x:v>
      </x:c>
      <x:c r="L89" s="12" t="n">
        <x:f>K89-(G89*J89)</x:f>
        <x:v>517.0039999999999</x:v>
      </x:c>
      <x:c r="M89" s="16" t="n">
        <x:f>IFERROR(L89/K89,0)</x:f>
        <x:v>0.3210479121490545</x:v>
      </x:c>
    </x:row>
    <x:row r="90">
      <x:c r="A90" t="str">
        <x:v>ORD-00089</x:v>
      </x:c>
      <x:c r="B90" s="10" t="n">
        <x:v>46234</x:v>
      </x:c>
      <x:c r="C90" t="str">
        <x:v>Southeast</x:v>
      </x:c>
      <x:c r="D90" t="str">
        <x:v>Technology</x:v>
      </x:c>
      <x:c r="E90" t="str">
        <x:v>Laptop Pro</x:v>
      </x:c>
      <x:c r="F90" t="str">
        <x:v>Diego</x:v>
      </x:c>
      <x:c r="G90" t="n">
        <x:v>5</x:v>
      </x:c>
      <x:c r="H90" s="12" t="n">
        <x:v>1241.02</x:v>
      </x:c>
      <x:c r="I90" s="14" t="n">
        <x:v>0.05</x:v>
      </x:c>
      <x:c r="J90" s="12" t="n">
        <x:v>872.15</x:v>
      </x:c>
      <x:c r="K90" s="12" t="n">
        <x:f>G90*H90*(1-I90)</x:f>
        <x:v>5894.845</x:v>
      </x:c>
      <x:c r="L90" s="12" t="n">
        <x:f>K90-(G90*J90)</x:f>
        <x:v>1534.0950000000003</x:v>
      </x:c>
      <x:c r="M90" s="16" t="n">
        <x:f>IFERROR(L90/K90,0)</x:f>
        <x:v>0.26024348392536195</x:v>
      </x:c>
    </x:row>
    <x:row r="91">
      <x:c r="A91" t="str">
        <x:v>ORD-00090</x:v>
      </x:c>
      <x:c r="B91" s="10" t="n">
        <x:v>46054</x:v>
      </x:c>
      <x:c r="C91" t="str">
        <x:v>South</x:v>
      </x:c>
      <x:c r="D91" t="str">
        <x:v>Accessories</x:v>
      </x:c>
      <x:c r="E91" t="str">
        <x:v>Webcam HD</x:v>
      </x:c>
      <x:c r="F91" t="str">
        <x:v>Ana</x:v>
      </x:c>
      <x:c r="G91" t="n">
        <x:v>7</x:v>
      </x:c>
      <x:c r="H91" s="12" t="n">
        <x:v>95.48</x:v>
      </x:c>
      <x:c r="I91" s="14" t="n">
        <x:v>0.2</x:v>
      </x:c>
      <x:c r="J91" s="12" t="n">
        <x:v>48.23</x:v>
      </x:c>
      <x:c r="K91" s="12" t="n">
        <x:f>G91*H91*(1-I91)</x:f>
        <x:v>534.688</x:v>
      </x:c>
      <x:c r="L91" s="12" t="n">
        <x:f>K91-(G91*J91)</x:f>
        <x:v>197.07800000000003</x:v>
      </x:c>
      <x:c r="M91" s="16" t="n">
        <x:f>IFERROR(L91/K91,0)</x:f>
        <x:v>0.36858504398826986</x:v>
      </x:c>
    </x:row>
    <x:row r="92">
      <x:c r="A92" t="str">
        <x:v>ORD-00091</x:v>
      </x:c>
      <x:c r="B92" s="10" t="n">
        <x:v>46176</x:v>
      </x:c>
      <x:c r="C92" t="str">
        <x:v>Southeast</x:v>
      </x:c>
      <x:c r="D92" t="str">
        <x:v>Home</x:v>
      </x:c>
      <x:c r="E92" t="str">
        <x:v>Smart Lamp</x:v>
      </x:c>
      <x:c r="F92" t="str">
        <x:v>Felipe</x:v>
      </x:c>
      <x:c r="G92" t="n">
        <x:v>6</x:v>
      </x:c>
      <x:c r="H92" s="12" t="n">
        <x:v>62.55</x:v>
      </x:c>
      <x:c r="I92" s="14" t="n">
        <x:v>0.1</x:v>
      </x:c>
      <x:c r="J92" s="12" t="n">
        <x:v>28.75</x:v>
      </x:c>
      <x:c r="K92" s="12" t="n">
        <x:f>G92*H92*(1-I92)</x:f>
        <x:v>337.77</x:v>
      </x:c>
      <x:c r="L92" s="12" t="n">
        <x:f>K92-(G92*J92)</x:f>
        <x:v>165.26999999999998</x:v>
      </x:c>
      <x:c r="M92" s="16" t="n">
        <x:f>IFERROR(L92/K92,0)</x:f>
        <x:v>0.48929745092814636</x:v>
      </x:c>
    </x:row>
    <x:row r="93">
      <x:c r="A93" t="str">
        <x:v>ORD-00092</x:v>
      </x:c>
      <x:c r="B93" s="10" t="n">
        <x:v>46237</x:v>
      </x:c>
      <x:c r="C93" t="str">
        <x:v>Midwest</x:v>
      </x:c>
      <x:c r="D93" t="str">
        <x:v>Technology</x:v>
      </x:c>
      <x:c r="E93" t="str">
        <x:v>Monitor 27</x:v>
      </x:c>
      <x:c r="F93" t="str">
        <x:v>Elisa</x:v>
      </x:c>
      <x:c r="G93" t="n">
        <x:v>5</x:v>
      </x:c>
      <x:c r="H93" s="12" t="n">
        <x:v>298.32</x:v>
      </x:c>
      <x:c r="I93" s="14" t="n">
        <x:v>0.05</x:v>
      </x:c>
      <x:c r="J93" s="12" t="n">
        <x:v>177.98</x:v>
      </x:c>
      <x:c r="K93" s="12" t="n">
        <x:f>G93*H93*(1-I93)</x:f>
        <x:v>1417.0199999999998</x:v>
      </x:c>
      <x:c r="L93" s="12" t="n">
        <x:f>K93-(G93*J93)</x:f>
        <x:v>527.1199999999998</x:v>
      </x:c>
      <x:c r="M93" s="16" t="n">
        <x:f>IFERROR(L93/K93,0)</x:f>
        <x:v>0.3719919267194534</x:v>
      </x:c>
    </x:row>
    <x:row r="94">
      <x:c r="A94" t="str">
        <x:v>ORD-00093</x:v>
      </x:c>
      <x:c r="B94" s="10" t="n">
        <x:v>46189</x:v>
      </x:c>
      <x:c r="C94" t="str">
        <x:v>South</x:v>
      </x:c>
      <x:c r="D94" t="str">
        <x:v>Accessories</x:v>
      </x:c>
      <x:c r="E94" t="str">
        <x:v>USB-C Hub</x:v>
      </x:c>
      <x:c r="F94" t="str">
        <x:v>Carla</x:v>
      </x:c>
      <x:c r="G94" t="n">
        <x:v>7</x:v>
      </x:c>
      <x:c r="H94" s="12" t="n">
        <x:v>70.3</x:v>
      </x:c>
      <x:c r="I94" s="14" t="n">
        <x:v>0.1</x:v>
      </x:c>
      <x:c r="J94" s="12" t="n">
        <x:v>31.51</x:v>
      </x:c>
      <x:c r="K94" s="12" t="n">
        <x:f>G94*H94*(1-I94)</x:f>
        <x:v>442.89</x:v>
      </x:c>
      <x:c r="L94" s="12" t="n">
        <x:f>K94-(G94*J94)</x:f>
        <x:v>222.31999999999996</x:v>
      </x:c>
      <x:c r="M94" s="16" t="n">
        <x:f>IFERROR(L94/K94,0)</x:f>
        <x:v>0.5019756598703966</x:v>
      </x:c>
    </x:row>
    <x:row r="95">
      <x:c r="A95" t="str">
        <x:v>ORD-00094</x:v>
      </x:c>
      <x:c r="B95" s="10" t="n">
        <x:v>46127</x:v>
      </x:c>
      <x:c r="C95" t="str">
        <x:v>Southeast</x:v>
      </x:c>
      <x:c r="D95" t="str">
        <x:v>Technology</x:v>
      </x:c>
      <x:c r="E95" t="str">
        <x:v>Laptop Pro</x:v>
      </x:c>
      <x:c r="F95" t="str">
        <x:v>Diego</x:v>
      </x:c>
      <x:c r="G95" t="n">
        <x:v>6</x:v>
      </x:c>
      <x:c r="H95" s="12" t="n">
        <x:v>1205.51</x:v>
      </x:c>
      <x:c r="I95" s="14" t="n">
        <x:v>0.05</x:v>
      </x:c>
      <x:c r="J95" s="12" t="n">
        <x:v>861.16</x:v>
      </x:c>
      <x:c r="K95" s="12" t="n">
        <x:f>G95*H95*(1-I95)</x:f>
        <x:v>6871.406999999999</x:v>
      </x:c>
      <x:c r="L95" s="12" t="n">
        <x:f>K95-(G95*J95)</x:f>
        <x:v>1704.4469999999992</x:v>
      </x:c>
      <x:c r="M95" s="16" t="n">
        <x:f>IFERROR(L95/K95,0)</x:f>
        <x:v>0.24804919865756742</x:v>
      </x:c>
    </x:row>
    <x:row r="96">
      <x:c r="A96" t="str">
        <x:v>ORD-00095</x:v>
      </x:c>
      <x:c r="B96" s="10" t="n">
        <x:v>46231</x:v>
      </x:c>
      <x:c r="C96" t="str">
        <x:v>Midwest</x:v>
      </x:c>
      <x:c r="D96" t="str">
        <x:v>Technology</x:v>
      </x:c>
      <x:c r="E96" t="str">
        <x:v>Wireless Mouse</x:v>
      </x:c>
      <x:c r="F96" t="str">
        <x:v>Diego</x:v>
      </x:c>
      <x:c r="G96" t="n">
        <x:v>2</x:v>
      </x:c>
      <x:c r="H96" s="12" t="n">
        <x:v>34.62</x:v>
      </x:c>
      <x:c r="I96" s="14" t="n">
        <x:v>0</x:v>
      </x:c>
      <x:c r="J96" s="12" t="n">
        <x:v>16.46</x:v>
      </x:c>
      <x:c r="K96" s="12" t="n">
        <x:f>G96*H96*(1-I96)</x:f>
        <x:v>69.24</x:v>
      </x:c>
      <x:c r="L96" s="12" t="n">
        <x:f>K96-(G96*J96)</x:f>
        <x:v>36.31999999999999</x:v>
      </x:c>
      <x:c r="M96" s="16" t="n">
        <x:f>IFERROR(L96/K96,0)</x:f>
        <x:v>0.5245522819179664</x:v>
      </x:c>
    </x:row>
    <x:row r="97">
      <x:c r="A97" t="str">
        <x:v>ORD-00096</x:v>
      </x:c>
      <x:c r="B97" s="10" t="n">
        <x:v>46244</x:v>
      </x:c>
      <x:c r="C97" t="str">
        <x:v>South</x:v>
      </x:c>
      <x:c r="D97" t="str">
        <x:v>Technology</x:v>
      </x:c>
      <x:c r="E97" t="str">
        <x:v>Monitor 27</x:v>
      </x:c>
      <x:c r="F97" t="str">
        <x:v>Diego</x:v>
      </x:c>
      <x:c r="G97" t="n">
        <x:v>8</x:v>
      </x:c>
      <x:c r="H97" s="12" t="n">
        <x:v>283.3</x:v>
      </x:c>
      <x:c r="I97" s="14" t="n">
        <x:v>0.05</x:v>
      </x:c>
      <x:c r="J97" s="12" t="n">
        <x:v>179.66</x:v>
      </x:c>
      <x:c r="K97" s="12" t="n">
        <x:f>G97*H97*(1-I97)</x:f>
        <x:v>2153.08</x:v>
      </x:c>
      <x:c r="L97" s="12" t="n">
        <x:f>K97-(G97*J97)</x:f>
        <x:v>715.8</x:v>
      </x:c>
      <x:c r="M97" s="16" t="n">
        <x:f>IFERROR(L97/K97,0)</x:f>
        <x:v>0.332453972913222</x:v>
      </x:c>
    </x:row>
    <x:row r="98">
      <x:c r="A98" t="str">
        <x:v>ORD-00097</x:v>
      </x:c>
      <x:c r="B98" s="10" t="n">
        <x:v>46183</x:v>
      </x:c>
      <x:c r="C98" t="str">
        <x:v>South</x:v>
      </x:c>
      <x:c r="D98" t="str">
        <x:v>Technology</x:v>
      </x:c>
      <x:c r="E98" t="str">
        <x:v>Laptop Pro</x:v>
      </x:c>
      <x:c r="F98" t="str">
        <x:v>Felipe</x:v>
      </x:c>
      <x:c r="G98" t="n">
        <x:v>5</x:v>
      </x:c>
      <x:c r="H98" s="12" t="n">
        <x:v>1252.19</x:v>
      </x:c>
      <x:c r="I98" s="14" t="n">
        <x:v>0.05</x:v>
      </x:c>
      <x:c r="J98" s="12" t="n">
        <x:v>851.62</x:v>
      </x:c>
      <x:c r="K98" s="12" t="n">
        <x:f>G98*H98*(1-I98)</x:f>
        <x:v>5947.9025</x:v>
      </x:c>
      <x:c r="L98" s="12" t="n">
        <x:f>K98-(G98*J98)</x:f>
        <x:v>1689.8024999999998</x:v>
      </x:c>
      <x:c r="M98" s="16" t="n">
        <x:f>IFERROR(L98/K98,0)</x:f>
        <x:v>0.28410057158805135</x:v>
      </x:c>
    </x:row>
    <x:row r="99">
      <x:c r="A99" t="str">
        <x:v>ORD-00098</x:v>
      </x:c>
      <x:c r="B99" s="10" t="n">
        <x:v>46147</x:v>
      </x:c>
      <x:c r="C99" t="str">
        <x:v>Southeast</x:v>
      </x:c>
      <x:c r="D99" t="str">
        <x:v>Office</x:v>
      </x:c>
      <x:c r="E99" t="str">
        <x:v>Desk Lamp</x:v>
      </x:c>
      <x:c r="F99" t="str">
        <x:v>Bruno</x:v>
      </x:c>
      <x:c r="G99" t="n">
        <x:v>3</x:v>
      </x:c>
      <x:c r="H99" s="12" t="n">
        <x:v>52.87</x:v>
      </x:c>
      <x:c r="I99" s="14" t="n">
        <x:v>0</x:v>
      </x:c>
      <x:c r="J99" s="12" t="n">
        <x:v>24.01</x:v>
      </x:c>
      <x:c r="K99" s="12" t="n">
        <x:f>G99*H99*(1-I99)</x:f>
        <x:v>158.60999999999999</x:v>
      </x:c>
      <x:c r="L99" s="12" t="n">
        <x:f>K99-(G99*J99)</x:f>
        <x:v>86.57999999999998</x:v>
      </x:c>
      <x:c r="M99" s="16" t="n">
        <x:f>IFERROR(L99/K99,0)</x:f>
        <x:v>0.5458672214866653</x:v>
      </x:c>
    </x:row>
    <x:row r="100">
      <x:c r="A100" t="str">
        <x:v>ORD-00099</x:v>
      </x:c>
      <x:c r="B100" s="10" t="n">
        <x:v>46238</x:v>
      </x:c>
      <x:c r="C100" t="str">
        <x:v>North</x:v>
      </x:c>
      <x:c r="D100" t="str">
        <x:v>Home</x:v>
      </x:c>
      <x:c r="E100" t="str">
        <x:v>Air Purifier</x:v>
      </x:c>
      <x:c r="F100" t="str">
        <x:v>Carla</x:v>
      </x:c>
      <x:c r="G100" t="n">
        <x:v>3</x:v>
      </x:c>
      <x:c r="H100" s="12" t="n">
        <x:v>184.41</x:v>
      </x:c>
      <x:c r="I100" s="14" t="n">
        <x:v>0.05</x:v>
      </x:c>
      <x:c r="J100" s="12" t="n">
        <x:v>110.6</x:v>
      </x:c>
      <x:c r="K100" s="12" t="n">
        <x:f>G100*H100*(1-I100)</x:f>
        <x:v>525.5685</x:v>
      </x:c>
      <x:c r="L100" s="12" t="n">
        <x:f>K100-(G100*J100)</x:f>
        <x:v>193.76850000000002</x:v>
      </x:c>
      <x:c r="M100" s="16" t="n">
        <x:f>IFERROR(L100/K100,0)</x:f>
        <x:v>0.36868362544558897</x:v>
      </x:c>
    </x:row>
    <x:row r="101">
      <x:c r="A101" t="str">
        <x:v>ORD-00100</x:v>
      </x:c>
      <x:c r="B101" s="10" t="n">
        <x:v>46129</x:v>
      </x:c>
      <x:c r="C101" t="str">
        <x:v>Midwest</x:v>
      </x:c>
      <x:c r="D101" t="str">
        <x:v>Home</x:v>
      </x:c>
      <x:c r="E101" t="str">
        <x:v>Air Purifier</x:v>
      </x:c>
      <x:c r="F101" t="str">
        <x:v>Elisa</x:v>
      </x:c>
      <x:c r="G101" t="n">
        <x:v>8</x:v>
      </x:c>
      <x:c r="H101" s="12" t="n">
        <x:v>179.01</x:v>
      </x:c>
      <x:c r="I101" s="14" t="n">
        <x:v>0.05</x:v>
      </x:c>
      <x:c r="J101" s="12" t="n">
        <x:v>112.87</x:v>
      </x:c>
      <x:c r="K101" s="12" t="n">
        <x:f>G101*H101*(1-I101)</x:f>
        <x:v>1360.4759999999999</x:v>
      </x:c>
      <x:c r="L101" s="12" t="n">
        <x:f>K101-(G101*J101)</x:f>
        <x:v>457.51599999999985</x:v>
      </x:c>
      <x:c r="M101" s="16" t="n">
        <x:f>IFERROR(L101/K101,0)</x:f>
        <x:v>0.3362911216368388</x:v>
      </x:c>
    </x:row>
    <x:row r="102">
      <x:c r="A102" t="str">
        <x:v>ORD-00101</x:v>
      </x:c>
      <x:c r="B102" s="10" t="n">
        <x:v>46214</x:v>
      </x:c>
      <x:c r="C102" t="str">
        <x:v>Midwest</x:v>
      </x:c>
      <x:c r="D102" t="str">
        <x:v>Technology</x:v>
      </x:c>
      <x:c r="E102" t="str">
        <x:v>Wireless Mouse</x:v>
      </x:c>
      <x:c r="F102" t="str">
        <x:v>Ana</x:v>
      </x:c>
      <x:c r="G102" t="n">
        <x:v>7</x:v>
      </x:c>
      <x:c r="H102" s="12" t="n">
        <x:v>36.08</x:v>
      </x:c>
      <x:c r="I102" s="14" t="n">
        <x:v>0</x:v>
      </x:c>
      <x:c r="J102" s="12" t="n">
        <x:v>15.89</x:v>
      </x:c>
      <x:c r="K102" s="12" t="n">
        <x:f>G102*H102*(1-I102)</x:f>
        <x:v>252.56</x:v>
      </x:c>
      <x:c r="L102" s="12" t="n">
        <x:f>K102-(G102*J102)</x:f>
        <x:v>141.32999999999998</x:v>
      </x:c>
      <x:c r="M102" s="16" t="n">
        <x:f>IFERROR(L102/K102,0)</x:f>
        <x:v>0.559589800443459</x:v>
      </x:c>
    </x:row>
    <x:row r="103">
      <x:c r="A103" t="str">
        <x:v>ORD-00102</x:v>
      </x:c>
      <x:c r="B103" s="10" t="n">
        <x:v>46095</x:v>
      </x:c>
      <x:c r="C103" t="str">
        <x:v>Northeast</x:v>
      </x:c>
      <x:c r="D103" t="str">
        <x:v>Home</x:v>
      </x:c>
      <x:c r="E103" t="str">
        <x:v>Air Purifier</x:v>
      </x:c>
      <x:c r="F103" t="str">
        <x:v>Elisa</x:v>
      </x:c>
      <x:c r="G103" t="n">
        <x:v>8</x:v>
      </x:c>
      <x:c r="H103" s="12" t="n">
        <x:v>178.39</x:v>
      </x:c>
      <x:c r="I103" s="14" t="n">
        <x:v>0.05</x:v>
      </x:c>
      <x:c r="J103" s="12" t="n">
        <x:v>110.84</x:v>
      </x:c>
      <x:c r="K103" s="12" t="n">
        <x:f>G103*H103*(1-I103)</x:f>
        <x:v>1355.764</x:v>
      </x:c>
      <x:c r="L103" s="12" t="n">
        <x:f>K103-(G103*J103)</x:f>
        <x:v>469.04399999999987</x:v>
      </x:c>
      <x:c r="M103" s="16" t="n">
        <x:f>IFERROR(L103/K103,0)</x:f>
        <x:v>0.34596286669361326</x:v>
      </x:c>
    </x:row>
    <x:row r="104">
      <x:c r="A104" t="str">
        <x:v>ORD-00103</x:v>
      </x:c>
      <x:c r="B104" s="10" t="n">
        <x:v>46119</x:v>
      </x:c>
      <x:c r="C104" t="str">
        <x:v>South</x:v>
      </x:c>
      <x:c r="D104" t="str">
        <x:v>Accessories</x:v>
      </x:c>
      <x:c r="E104" t="str">
        <x:v>USB-C Hub</x:v>
      </x:c>
      <x:c r="F104" t="str">
        <x:v>Ana</x:v>
      </x:c>
      <x:c r="G104" t="n">
        <x:v>4</x:v>
      </x:c>
      <x:c r="H104" s="12" t="n">
        <x:v>68.67</x:v>
      </x:c>
      <x:c r="I104" s="14" t="n">
        <x:v>0.05</x:v>
      </x:c>
      <x:c r="J104" s="12" t="n">
        <x:v>32.6</x:v>
      </x:c>
      <x:c r="K104" s="12" t="n">
        <x:f>G104*H104*(1-I104)</x:f>
        <x:v>260.94599999999997</x:v>
      </x:c>
      <x:c r="L104" s="12" t="n">
        <x:f>K104-(G104*J104)</x:f>
        <x:v>130.54599999999996</x:v>
      </x:c>
      <x:c r="M104" s="16" t="n">
        <x:f>IFERROR(L104/K104,0)</x:f>
        <x:v>0.500279751366183</x:v>
      </x:c>
    </x:row>
    <x:row r="105">
      <x:c r="A105" t="str">
        <x:v>ORD-00104</x:v>
      </x:c>
      <x:c r="B105" s="10" t="n">
        <x:v>46104</x:v>
      </x:c>
      <x:c r="C105" t="str">
        <x:v>Midwest</x:v>
      </x:c>
      <x:c r="D105" t="str">
        <x:v>Home</x:v>
      </x:c>
      <x:c r="E105" t="str">
        <x:v>Coffee Maker</x:v>
      </x:c>
      <x:c r="F105" t="str">
        <x:v>Elisa</x:v>
      </x:c>
      <x:c r="G105" t="n">
        <x:v>3</x:v>
      </x:c>
      <x:c r="H105" s="12" t="n">
        <x:v>120.42</x:v>
      </x:c>
      <x:c r="I105" s="14" t="n">
        <x:v>0.05</x:v>
      </x:c>
      <x:c r="J105" s="12" t="n">
        <x:v>72.37</x:v>
      </x:c>
      <x:c r="K105" s="12" t="n">
        <x:f>G105*H105*(1-I105)</x:f>
        <x:v>343.197</x:v>
      </x:c>
      <x:c r="L105" s="12" t="n">
        <x:f>K105-(G105*J105)</x:f>
        <x:v>126.08699999999999</x:v>
      </x:c>
      <x:c r="M105" s="16" t="n">
        <x:f>IFERROR(L105/K105,0)</x:f>
        <x:v>0.36738957508369824</x:v>
      </x:c>
    </x:row>
    <x:row r="106">
      <x:c r="A106" t="str">
        <x:v>ORD-00105</x:v>
      </x:c>
      <x:c r="B106" s="10" t="n">
        <x:v>46107</x:v>
      </x:c>
      <x:c r="C106" t="str">
        <x:v>Midwest</x:v>
      </x:c>
      <x:c r="D106" t="str">
        <x:v>Home</x:v>
      </x:c>
      <x:c r="E106" t="str">
        <x:v>Air Purifier</x:v>
      </x:c>
      <x:c r="F106" t="str">
        <x:v>Bruno</x:v>
      </x:c>
      <x:c r="G106" t="n">
        <x:v>8</x:v>
      </x:c>
      <x:c r="H106" s="12" t="n">
        <x:v>175.14</x:v>
      </x:c>
      <x:c r="I106" s="14" t="n">
        <x:v>0</x:v>
      </x:c>
      <x:c r="J106" s="12" t="n">
        <x:v>112.59</x:v>
      </x:c>
      <x:c r="K106" s="12" t="n">
        <x:f>G106*H106*(1-I106)</x:f>
        <x:v>1401.12</x:v>
      </x:c>
      <x:c r="L106" s="12" t="n">
        <x:f>K106-(G106*J106)</x:f>
        <x:v>500.39999999999986</x:v>
      </x:c>
      <x:c r="M106" s="16" t="n">
        <x:f>IFERROR(L106/K106,0)</x:f>
        <x:v>0.3571428571428571</x:v>
      </x:c>
    </x:row>
    <x:row r="107">
      <x:c r="A107" t="str">
        <x:v>ORD-00106</x:v>
      </x:c>
      <x:c r="B107" s="10" t="n">
        <x:v>46042</x:v>
      </x:c>
      <x:c r="C107" t="str">
        <x:v>South</x:v>
      </x:c>
      <x:c r="D107" t="str">
        <x:v>Accessories</x:v>
      </x:c>
      <x:c r="E107" t="str">
        <x:v>Backpack</x:v>
      </x:c>
      <x:c r="F107" t="str">
        <x:v>Elisa</x:v>
      </x:c>
      <x:c r="G107" t="n">
        <x:v>7</x:v>
      </x:c>
      <x:c r="H107" s="12" t="n">
        <x:v>88.12</x:v>
      </x:c>
      <x:c r="I107" s="14" t="n">
        <x:v>0.1</x:v>
      </x:c>
      <x:c r="J107" s="12" t="n">
        <x:v>42.95</x:v>
      </x:c>
      <x:c r="K107" s="12" t="n">
        <x:f>G107*H107*(1-I107)</x:f>
        <x:v>555.1560000000001</x:v>
      </x:c>
      <x:c r="L107" s="12" t="n">
        <x:f>K107-(G107*J107)</x:f>
        <x:v>254.50600000000003</x:v>
      </x:c>
      <x:c r="M107" s="16" t="n">
        <x:f>IFERROR(L107/K107,0)</x:f>
        <x:v>0.45844051041509054</x:v>
      </x:c>
    </x:row>
    <x:row r="108">
      <x:c r="A108" t="str">
        <x:v>ORD-00107</x:v>
      </x:c>
      <x:c r="B108" s="10" t="n">
        <x:v>46120</x:v>
      </x:c>
      <x:c r="C108" t="str">
        <x:v>North</x:v>
      </x:c>
      <x:c r="D108" t="str">
        <x:v>Home</x:v>
      </x:c>
      <x:c r="E108" t="str">
        <x:v>Smart Lamp</x:v>
      </x:c>
      <x:c r="F108" t="str">
        <x:v>Carla</x:v>
      </x:c>
      <x:c r="G108" t="n">
        <x:v>1</x:v>
      </x:c>
      <x:c r="H108" s="12" t="n">
        <x:v>63.77</x:v>
      </x:c>
      <x:c r="I108" s="14" t="n">
        <x:v>0.1</x:v>
      </x:c>
      <x:c r="J108" s="12" t="n">
        <x:v>29.41</x:v>
      </x:c>
      <x:c r="K108" s="12" t="n">
        <x:f>G108*H108*(1-I108)</x:f>
        <x:v>57.393</x:v>
      </x:c>
      <x:c r="L108" s="12" t="n">
        <x:f>K108-(G108*J108)</x:f>
        <x:v>27.983</x:v>
      </x:c>
      <x:c r="M108" s="16" t="n">
        <x:f>IFERROR(L108/K108,0)</x:f>
        <x:v>0.48756817033436134</x:v>
      </x:c>
    </x:row>
    <x:row r="109">
      <x:c r="A109" t="str">
        <x:v>ORD-00108</x:v>
      </x:c>
      <x:c r="B109" s="10" t="n">
        <x:v>46081</x:v>
      </x:c>
      <x:c r="C109" t="str">
        <x:v>Midwest</x:v>
      </x:c>
      <x:c r="D109" t="str">
        <x:v>Home</x:v>
      </x:c>
      <x:c r="E109" t="str">
        <x:v>Air Purifier</x:v>
      </x:c>
      <x:c r="F109" t="str">
        <x:v>Ana</x:v>
      </x:c>
      <x:c r="G109" t="n">
        <x:v>2</x:v>
      </x:c>
      <x:c r="H109" s="12" t="n">
        <x:v>184.04</x:v>
      </x:c>
      <x:c r="I109" s="14" t="n">
        <x:v>0.05</x:v>
      </x:c>
      <x:c r="J109" s="12" t="n">
        <x:v>112.77</x:v>
      </x:c>
      <x:c r="K109" s="12" t="n">
        <x:f>G109*H109*(1-I109)</x:f>
        <x:v>349.676</x:v>
      </x:c>
      <x:c r="L109" s="12" t="n">
        <x:f>K109-(G109*J109)</x:f>
        <x:v>124.136</x:v>
      </x:c>
      <x:c r="M109" s="16" t="n">
        <x:f>IFERROR(L109/K109,0)</x:f>
        <x:v>0.3550029169860099</x:v>
      </x:c>
    </x:row>
    <x:row r="110">
      <x:c r="A110" t="str">
        <x:v>ORD-00109</x:v>
      </x:c>
      <x:c r="B110" s="10" t="n">
        <x:v>46106</x:v>
      </x:c>
      <x:c r="C110" t="str">
        <x:v>Midwest</x:v>
      </x:c>
      <x:c r="D110" t="str">
        <x:v>Accessories</x:v>
      </x:c>
      <x:c r="E110" t="str">
        <x:v>Backpack</x:v>
      </x:c>
      <x:c r="F110" t="str">
        <x:v>Felipe</x:v>
      </x:c>
      <x:c r="G110" t="n">
        <x:v>6</x:v>
      </x:c>
      <x:c r="H110" s="12" t="n">
        <x:v>83.47</x:v>
      </x:c>
      <x:c r="I110" s="14" t="n">
        <x:v>0.05</x:v>
      </x:c>
      <x:c r="J110" s="12" t="n">
        <x:v>42.03</x:v>
      </x:c>
      <x:c r="K110" s="12" t="n">
        <x:f>G110*H110*(1-I110)</x:f>
        <x:v>475.779</x:v>
      </x:c>
      <x:c r="L110" s="12" t="n">
        <x:f>K110-(G110*J110)</x:f>
        <x:v>223.599</x:v>
      </x:c>
      <x:c r="M110" s="16" t="n">
        <x:f>IFERROR(L110/K110,0)</x:f>
        <x:v>0.4699639958888475</x:v>
      </x:c>
    </x:row>
    <x:row r="111">
      <x:c r="A111" t="str">
        <x:v>ORD-00110</x:v>
      </x:c>
      <x:c r="B111" s="10" t="n">
        <x:v>46225</x:v>
      </x:c>
      <x:c r="C111" t="str">
        <x:v>Southeast</x:v>
      </x:c>
      <x:c r="D111" t="str">
        <x:v>Office</x:v>
      </x:c>
      <x:c r="E111" t="str">
        <x:v>Office Chair</x:v>
      </x:c>
      <x:c r="F111" t="str">
        <x:v>Bruno</x:v>
      </x:c>
      <x:c r="G111" t="n">
        <x:v>7</x:v>
      </x:c>
      <x:c r="H111" s="12" t="n">
        <x:v>215.97</x:v>
      </x:c>
      <x:c r="I111" s="14" t="n">
        <x:v>0.1</x:v>
      </x:c>
      <x:c r="J111" s="12" t="n">
        <x:v>133.33</x:v>
      </x:c>
      <x:c r="K111" s="12" t="n">
        <x:f>G111*H111*(1-I111)</x:f>
        <x:v>1360.611</x:v>
      </x:c>
      <x:c r="L111" s="12" t="n">
        <x:f>K111-(G111*J111)</x:f>
        <x:v>427.30100000000004</x:v>
      </x:c>
      <x:c r="M111" s="16" t="n">
        <x:f>IFERROR(L111/K111,0)</x:f>
        <x:v>0.31405081981550936</x:v>
      </x:c>
    </x:row>
    <x:row r="112">
      <x:c r="A112" t="str">
        <x:v>ORD-00111</x:v>
      </x:c>
      <x:c r="B112" s="10" t="n">
        <x:v>46082</x:v>
      </x:c>
      <x:c r="C112" t="str">
        <x:v>South</x:v>
      </x:c>
      <x:c r="D112" t="str">
        <x:v>Accessories</x:v>
      </x:c>
      <x:c r="E112" t="str">
        <x:v>Backpack</x:v>
      </x:c>
      <x:c r="F112" t="str">
        <x:v>Carla</x:v>
      </x:c>
      <x:c r="G112" t="n">
        <x:v>5</x:v>
      </x:c>
      <x:c r="H112" s="12" t="n">
        <x:v>88.48</x:v>
      </x:c>
      <x:c r="I112" s="14" t="n">
        <x:v>0.1</x:v>
      </x:c>
      <x:c r="J112" s="12" t="n">
        <x:v>42.14</x:v>
      </x:c>
      <x:c r="K112" s="12" t="n">
        <x:f>G112*H112*(1-I112)</x:f>
        <x:v>398.16</x:v>
      </x:c>
      <x:c r="L112" s="12" t="n">
        <x:f>K112-(G112*J112)</x:f>
        <x:v>187.46000000000004</x:v>
      </x:c>
      <x:c r="M112" s="16" t="n">
        <x:f>IFERROR(L112/K112,0)</x:f>
        <x:v>0.4708157524613221</x:v>
      </x:c>
    </x:row>
    <x:row r="113">
      <x:c r="A113" t="str">
        <x:v>ORD-00112</x:v>
      </x:c>
      <x:c r="B113" s="10" t="n">
        <x:v>46196</x:v>
      </x:c>
      <x:c r="C113" t="str">
        <x:v>South</x:v>
      </x:c>
      <x:c r="D113" t="str">
        <x:v>Technology</x:v>
      </x:c>
      <x:c r="E113" t="str">
        <x:v>Wireless Mouse</x:v>
      </x:c>
      <x:c r="F113" t="str">
        <x:v>Felipe</x:v>
      </x:c>
      <x:c r="G113" t="n">
        <x:v>6</x:v>
      </x:c>
      <x:c r="H113" s="12" t="n">
        <x:v>34.54</x:v>
      </x:c>
      <x:c r="I113" s="14" t="n">
        <x:v>0.2</x:v>
      </x:c>
      <x:c r="J113" s="12" t="n">
        <x:v>16.45</x:v>
      </x:c>
      <x:c r="K113" s="12" t="n">
        <x:f>G113*H113*(1-I113)</x:f>
        <x:v>165.79200000000003</x:v>
      </x:c>
      <x:c r="L113" s="12" t="n">
        <x:f>K113-(G113*J113)</x:f>
        <x:v>67.09200000000004</x:v>
      </x:c>
      <x:c r="M113" s="16" t="n">
        <x:f>IFERROR(L113/K113,0)</x:f>
        <x:v>0.40467573827446457</x:v>
      </x:c>
    </x:row>
    <x:row r="114">
      <x:c r="A114" t="str">
        <x:v>ORD-00113</x:v>
      </x:c>
      <x:c r="B114" s="10" t="n">
        <x:v>46087</x:v>
      </x:c>
      <x:c r="C114" t="str">
        <x:v>South</x:v>
      </x:c>
      <x:c r="D114" t="str">
        <x:v>Accessories</x:v>
      </x:c>
      <x:c r="E114" t="str">
        <x:v>USB-C Hub</x:v>
      </x:c>
      <x:c r="F114" t="str">
        <x:v>Carla</x:v>
      </x:c>
      <x:c r="G114" t="n">
        <x:v>7</x:v>
      </x:c>
      <x:c r="H114" s="12" t="n">
        <x:v>67.87</x:v>
      </x:c>
      <x:c r="I114" s="14" t="n">
        <x:v>0.15</x:v>
      </x:c>
      <x:c r="J114" s="12" t="n">
        <x:v>31.97</x:v>
      </x:c>
      <x:c r="K114" s="12" t="n">
        <x:f>G114*H114*(1-I114)</x:f>
        <x:v>403.8265</x:v>
      </x:c>
      <x:c r="L114" s="12" t="n">
        <x:f>K114-(G114*J114)</x:f>
        <x:v>180.03650000000002</x:v>
      </x:c>
      <x:c r="M114" s="16" t="n">
        <x:f>IFERROR(L114/K114,0)</x:f>
        <x:v>0.4458263635496928</x:v>
      </x:c>
    </x:row>
    <x:row r="115">
      <x:c r="A115" t="str">
        <x:v>ORD-00114</x:v>
      </x:c>
      <x:c r="B115" s="10" t="n">
        <x:v>46170</x:v>
      </x:c>
      <x:c r="C115" t="str">
        <x:v>Southeast</x:v>
      </x:c>
      <x:c r="D115" t="str">
        <x:v>Accessories</x:v>
      </x:c>
      <x:c r="E115" t="str">
        <x:v>USB-C Hub</x:v>
      </x:c>
      <x:c r="F115" t="str">
        <x:v>Felipe</x:v>
      </x:c>
      <x:c r="G115" t="n">
        <x:v>7</x:v>
      </x:c>
      <x:c r="H115" s="12" t="n">
        <x:v>70.77</x:v>
      </x:c>
      <x:c r="I115" s="14" t="n">
        <x:v>0</x:v>
      </x:c>
      <x:c r="J115" s="12" t="n">
        <x:v>32.46</x:v>
      </x:c>
      <x:c r="K115" s="12" t="n">
        <x:f>G115*H115*(1-I115)</x:f>
        <x:v>495.39</x:v>
      </x:c>
      <x:c r="L115" s="12" t="n">
        <x:f>K115-(G115*J115)</x:f>
        <x:v>268.16999999999996</x:v>
      </x:c>
      <x:c r="M115" s="16" t="n">
        <x:f>IFERROR(L115/K115,0)</x:f>
        <x:v>0.5413310724883424</x:v>
      </x:c>
    </x:row>
    <x:row r="116">
      <x:c r="A116" t="str">
        <x:v>ORD-00115</x:v>
      </x:c>
      <x:c r="B116" s="10" t="n">
        <x:v>46035</x:v>
      </x:c>
      <x:c r="C116" t="str">
        <x:v>North</x:v>
      </x:c>
      <x:c r="D116" t="str">
        <x:v>Home</x:v>
      </x:c>
      <x:c r="E116" t="str">
        <x:v>Coffee Maker</x:v>
      </x:c>
      <x:c r="F116" t="str">
        <x:v>Elisa</x:v>
      </x:c>
      <x:c r="G116" t="n">
        <x:v>4</x:v>
      </x:c>
      <x:c r="H116" s="12" t="n">
        <x:v>123.96</x:v>
      </x:c>
      <x:c r="I116" s="14" t="n">
        <x:v>0.1</x:v>
      </x:c>
      <x:c r="J116" s="12" t="n">
        <x:v>72.85</x:v>
      </x:c>
      <x:c r="K116" s="12" t="n">
        <x:f>G116*H116*(1-I116)</x:f>
        <x:v>446.256</x:v>
      </x:c>
      <x:c r="L116" s="12" t="n">
        <x:f>K116-(G116*J116)</x:f>
        <x:v>154.856</x:v>
      </x:c>
      <x:c r="M116" s="16" t="n">
        <x:f>IFERROR(L116/K116,0)</x:f>
        <x:v>0.34701158079667277</x:v>
      </x:c>
    </x:row>
    <x:row r="117">
      <x:c r="A117" t="str">
        <x:v>ORD-00116</x:v>
      </x:c>
      <x:c r="B117" s="10" t="n">
        <x:v>46087</x:v>
      </x:c>
      <x:c r="C117" t="str">
        <x:v>Northeast</x:v>
      </x:c>
      <x:c r="D117" t="str">
        <x:v>Office</x:v>
      </x:c>
      <x:c r="E117" t="str">
        <x:v>Desk Lamp</x:v>
      </x:c>
      <x:c r="F117" t="str">
        <x:v>Diego</x:v>
      </x:c>
      <x:c r="G117" t="n">
        <x:v>2</x:v>
      </x:c>
      <x:c r="H117" s="12" t="n">
        <x:v>56</x:v>
      </x:c>
      <x:c r="I117" s="14" t="n">
        <x:v>0.15</x:v>
      </x:c>
      <x:c r="J117" s="12" t="n">
        <x:v>23.89</x:v>
      </x:c>
      <x:c r="K117" s="12" t="n">
        <x:f>G117*H117*(1-I117)</x:f>
        <x:v>95.2</x:v>
      </x:c>
      <x:c r="L117" s="12" t="n">
        <x:f>K117-(G117*J117)</x:f>
        <x:v>47.42</x:v>
      </x:c>
      <x:c r="M117" s="16" t="n">
        <x:f>IFERROR(L117/K117,0)</x:f>
        <x:v>0.498109243697479</x:v>
      </x:c>
    </x:row>
    <x:row r="118">
      <x:c r="A118" t="str">
        <x:v>ORD-00117</x:v>
      </x:c>
      <x:c r="B118" s="10" t="n">
        <x:v>46031</x:v>
      </x:c>
      <x:c r="C118" t="str">
        <x:v>Northeast</x:v>
      </x:c>
      <x:c r="D118" t="str">
        <x:v>Office</x:v>
      </x:c>
      <x:c r="E118" t="str">
        <x:v>Office Chair</x:v>
      </x:c>
      <x:c r="F118" t="str">
        <x:v>Elisa</x:v>
      </x:c>
      <x:c r="G118" t="n">
        <x:v>5</x:v>
      </x:c>
      <x:c r="H118" s="12" t="n">
        <x:v>219.43</x:v>
      </x:c>
      <x:c r="I118" s="14" t="n">
        <x:v>0</x:v>
      </x:c>
      <x:c r="J118" s="12" t="n">
        <x:v>128.71</x:v>
      </x:c>
      <x:c r="K118" s="12" t="n">
        <x:f>G118*H118*(1-I118)</x:f>
        <x:v>1097.15</x:v>
      </x:c>
      <x:c r="L118" s="12" t="n">
        <x:f>K118-(G118*J118)</x:f>
        <x:v>453.6</x:v>
      </x:c>
      <x:c r="M118" s="16" t="n">
        <x:f>IFERROR(L118/K118,0)</x:f>
        <x:v>0.41343480836713303</x:v>
      </x:c>
    </x:row>
    <x:row r="119">
      <x:c r="A119" t="str">
        <x:v>ORD-00118</x:v>
      </x:c>
      <x:c r="B119" s="10" t="n">
        <x:v>46247</x:v>
      </x:c>
      <x:c r="C119" t="str">
        <x:v>North</x:v>
      </x:c>
      <x:c r="D119" t="str">
        <x:v>Accessories</x:v>
      </x:c>
      <x:c r="E119" t="str">
        <x:v>USB-C Hub</x:v>
      </x:c>
      <x:c r="F119" t="str">
        <x:v>Carla</x:v>
      </x:c>
      <x:c r="G119" t="n">
        <x:v>5</x:v>
      </x:c>
      <x:c r="H119" s="12" t="n">
        <x:v>73.15</x:v>
      </x:c>
      <x:c r="I119" s="14" t="n">
        <x:v>0.15</x:v>
      </x:c>
      <x:c r="J119" s="12" t="n">
        <x:v>32.91</x:v>
      </x:c>
      <x:c r="K119" s="12" t="n">
        <x:f>G119*H119*(1-I119)</x:f>
        <x:v>310.8875</x:v>
      </x:c>
      <x:c r="L119" s="12" t="n">
        <x:f>K119-(G119*J119)</x:f>
        <x:v>146.3375</x:v>
      </x:c>
      <x:c r="M119" s="16" t="n">
        <x:f>IFERROR(L119/K119,0)</x:f>
        <x:v>0.47070885770576176</x:v>
      </x:c>
    </x:row>
    <x:row r="120">
      <x:c r="A120" t="str">
        <x:v>ORD-00119</x:v>
      </x:c>
      <x:c r="B120" s="10" t="n">
        <x:v>46214</x:v>
      </x:c>
      <x:c r="C120" t="str">
        <x:v>Midwest</x:v>
      </x:c>
      <x:c r="D120" t="str">
        <x:v>Technology</x:v>
      </x:c>
      <x:c r="E120" t="str">
        <x:v>Wireless Mouse</x:v>
      </x:c>
      <x:c r="F120" t="str">
        <x:v>Felipe</x:v>
      </x:c>
      <x:c r="G120" t="n">
        <x:v>2</x:v>
      </x:c>
      <x:c r="H120" s="12" t="n">
        <x:v>36.64</x:v>
      </x:c>
      <x:c r="I120" s="14" t="n">
        <x:v>0</x:v>
      </x:c>
      <x:c r="J120" s="12" t="n">
        <x:v>16.37</x:v>
      </x:c>
      <x:c r="K120" s="12" t="n">
        <x:f>G120*H120*(1-I120)</x:f>
        <x:v>73.28</x:v>
      </x:c>
      <x:c r="L120" s="12" t="n">
        <x:f>K120-(G120*J120)</x:f>
        <x:v>40.54</x:v>
      </x:c>
      <x:c r="M120" s="16" t="n">
        <x:f>IFERROR(L120/K120,0)</x:f>
        <x:v>0.5532205240174672</x:v>
      </x:c>
    </x:row>
    <x:row r="121">
      <x:c r="A121" t="str">
        <x:v>ORD-00120</x:v>
      </x:c>
      <x:c r="B121" s="10" t="n">
        <x:v>46195</x:v>
      </x:c>
      <x:c r="C121" t="str">
        <x:v>North</x:v>
      </x:c>
      <x:c r="D121" t="str">
        <x:v>Accessories</x:v>
      </x:c>
      <x:c r="E121" t="str">
        <x:v>USB-C Hub</x:v>
      </x:c>
      <x:c r="F121" t="str">
        <x:v>Felipe</x:v>
      </x:c>
      <x:c r="G121" t="n">
        <x:v>7</x:v>
      </x:c>
      <x:c r="H121" s="12" t="n">
        <x:v>70.58</x:v>
      </x:c>
      <x:c r="I121" s="14" t="n">
        <x:v>0</x:v>
      </x:c>
      <x:c r="J121" s="12" t="n">
        <x:v>32.09</x:v>
      </x:c>
      <x:c r="K121" s="12" t="n">
        <x:f>G121*H121*(1-I121)</x:f>
        <x:v>494.06</x:v>
      </x:c>
      <x:c r="L121" s="12" t="n">
        <x:f>K121-(G121*J121)</x:f>
        <x:v>269.42999999999995</x:v>
      </x:c>
      <x:c r="M121" s="16" t="n">
        <x:f>IFERROR(L121/K121,0)</x:f>
        <x:v>0.5453386228393311</x:v>
      </x:c>
    </x:row>
    <x:row r="122">
      <x:c r="A122" t="str">
        <x:v>ORD-00121</x:v>
      </x:c>
      <x:c r="B122" s="10" t="n">
        <x:v>46214</x:v>
      </x:c>
      <x:c r="C122" t="str">
        <x:v>Northeast</x:v>
      </x:c>
      <x:c r="D122" t="str">
        <x:v>Home</x:v>
      </x:c>
      <x:c r="E122" t="str">
        <x:v>Smart Lamp</x:v>
      </x:c>
      <x:c r="F122" t="str">
        <x:v>Elisa</x:v>
      </x:c>
      <x:c r="G122" t="n">
        <x:v>6</x:v>
      </x:c>
      <x:c r="H122" s="12" t="n">
        <x:v>63.77</x:v>
      </x:c>
      <x:c r="I122" s="14" t="n">
        <x:v>0</x:v>
      </x:c>
      <x:c r="J122" s="12" t="n">
        <x:v>28.46</x:v>
      </x:c>
      <x:c r="K122" s="12" t="n">
        <x:f>G122*H122*(1-I122)</x:f>
        <x:v>382.62</x:v>
      </x:c>
      <x:c r="L122" s="12" t="n">
        <x:f>K122-(G122*J122)</x:f>
        <x:v>211.86</x:v>
      </x:c>
      <x:c r="M122" s="16" t="n">
        <x:f>IFERROR(L122/K122,0)</x:f>
        <x:v>0.5537086404265329</x:v>
      </x:c>
    </x:row>
    <x:row r="123">
      <x:c r="A123" t="str">
        <x:v>ORD-00122</x:v>
      </x:c>
      <x:c r="B123" s="10" t="n">
        <x:v>46106</x:v>
      </x:c>
      <x:c r="C123" t="str">
        <x:v>North</x:v>
      </x:c>
      <x:c r="D123" t="str">
        <x:v>Office</x:v>
      </x:c>
      <x:c r="E123" t="str">
        <x:v>Desk Lamp</x:v>
      </x:c>
      <x:c r="F123" t="str">
        <x:v>Felipe</x:v>
      </x:c>
      <x:c r="G123" t="n">
        <x:v>2</x:v>
      </x:c>
      <x:c r="H123" s="12" t="n">
        <x:v>55.1</x:v>
      </x:c>
      <x:c r="I123" s="14" t="n">
        <x:v>0.1</x:v>
      </x:c>
      <x:c r="J123" s="12" t="n">
        <x:v>24.36</x:v>
      </x:c>
      <x:c r="K123" s="12" t="n">
        <x:f>G123*H123*(1-I123)</x:f>
        <x:v>99.18</x:v>
      </x:c>
      <x:c r="L123" s="12" t="n">
        <x:f>K123-(G123*J123)</x:f>
        <x:v>50.46000000000001</x:v>
      </x:c>
      <x:c r="M123" s="16" t="n">
        <x:f>IFERROR(L123/K123,0)</x:f>
        <x:v>0.5087719298245614</x:v>
      </x:c>
    </x:row>
    <x:row r="124">
      <x:c r="A124" t="str">
        <x:v>ORD-00123</x:v>
      </x:c>
      <x:c r="B124" s="10" t="n">
        <x:v>46127</x:v>
      </x:c>
      <x:c r="C124" t="str">
        <x:v>Southeast</x:v>
      </x:c>
      <x:c r="D124" t="str">
        <x:v>Technology</x:v>
      </x:c>
      <x:c r="E124" t="str">
        <x:v>Laptop Pro</x:v>
      </x:c>
      <x:c r="F124" t="str">
        <x:v>Elisa</x:v>
      </x:c>
      <x:c r="G124" t="n">
        <x:v>5</x:v>
      </x:c>
      <x:c r="H124" s="12" t="n">
        <x:v>1164.54</x:v>
      </x:c>
      <x:c r="I124" s="14" t="n">
        <x:v>0.2</x:v>
      </x:c>
      <x:c r="J124" s="12" t="n">
        <x:v>842.98</x:v>
      </x:c>
      <x:c r="K124" s="12" t="n">
        <x:f>G124*H124*(1-I124)</x:f>
        <x:v>4658.16</x:v>
      </x:c>
      <x:c r="L124" s="12" t="n">
        <x:f>K124-(G124*J124)</x:f>
        <x:v>443.2600000000002</x:v>
      </x:c>
      <x:c r="M124" s="16" t="n">
        <x:f>IFERROR(L124/K124,0)</x:f>
        <x:v>0.09515774468889009</x:v>
      </x:c>
    </x:row>
    <x:row r="125">
      <x:c r="A125" t="str">
        <x:v>ORD-00124</x:v>
      </x:c>
      <x:c r="B125" s="10" t="n">
        <x:v>46057</x:v>
      </x:c>
      <x:c r="C125" t="str">
        <x:v>South</x:v>
      </x:c>
      <x:c r="D125" t="str">
        <x:v>Accessories</x:v>
      </x:c>
      <x:c r="E125" t="str">
        <x:v>Webcam HD</x:v>
      </x:c>
      <x:c r="F125" t="str">
        <x:v>Felipe</x:v>
      </x:c>
      <x:c r="G125" t="n">
        <x:v>7</x:v>
      </x:c>
      <x:c r="H125" s="12" t="n">
        <x:v>97.41</x:v>
      </x:c>
      <x:c r="I125" s="14" t="n">
        <x:v>0.05</x:v>
      </x:c>
      <x:c r="J125" s="12" t="n">
        <x:v>49.16</x:v>
      </x:c>
      <x:c r="K125" s="12" t="n">
        <x:f>G125*H125*(1-I125)</x:f>
        <x:v>647.7764999999999</x:v>
      </x:c>
      <x:c r="L125" s="12" t="n">
        <x:f>K125-(G125*J125)</x:f>
        <x:v>303.65649999999994</x:v>
      </x:c>
      <x:c r="M125" s="16" t="n">
        <x:f>IFERROR(L125/K125,0)</x:f>
        <x:v>0.46876739122212674</x:v>
      </x:c>
    </x:row>
    <x:row r="126">
      <x:c r="A126" t="str">
        <x:v>ORD-00125</x:v>
      </x:c>
      <x:c r="B126" s="10" t="n">
        <x:v>46048</x:v>
      </x:c>
      <x:c r="C126" t="str">
        <x:v>Midwest</x:v>
      </x:c>
      <x:c r="D126" t="str">
        <x:v>Home</x:v>
      </x:c>
      <x:c r="E126" t="str">
        <x:v>Coffee Maker</x:v>
      </x:c>
      <x:c r="F126" t="str">
        <x:v>Bruno</x:v>
      </x:c>
      <x:c r="G126" t="n">
        <x:v>1</x:v>
      </x:c>
      <x:c r="H126" s="12" t="n">
        <x:v>122.44</x:v>
      </x:c>
      <x:c r="I126" s="14" t="n">
        <x:v>0.1</x:v>
      </x:c>
      <x:c r="J126" s="12" t="n">
        <x:v>72.16</x:v>
      </x:c>
      <x:c r="K126" s="12" t="n">
        <x:f>G126*H126*(1-I126)</x:f>
        <x:v>110.196</x:v>
      </x:c>
      <x:c r="L126" s="12" t="n">
        <x:f>K126-(G126*J126)</x:f>
        <x:v>38.036</x:v>
      </x:c>
      <x:c r="M126" s="16" t="n">
        <x:f>IFERROR(L126/K126,0)</x:f>
        <x:v>0.34516679371302045</x:v>
      </x:c>
    </x:row>
    <x:row r="127">
      <x:c r="A127" t="str">
        <x:v>ORD-00126</x:v>
      </x:c>
      <x:c r="B127" s="10" t="n">
        <x:v>46241</x:v>
      </x:c>
      <x:c r="C127" t="str">
        <x:v>South</x:v>
      </x:c>
      <x:c r="D127" t="str">
        <x:v>Accessories</x:v>
      </x:c>
      <x:c r="E127" t="str">
        <x:v>Webcam HD</x:v>
      </x:c>
      <x:c r="F127" t="str">
        <x:v>Diego</x:v>
      </x:c>
      <x:c r="G127" t="n">
        <x:v>6</x:v>
      </x:c>
      <x:c r="H127" s="12" t="n">
        <x:v>93.56</x:v>
      </x:c>
      <x:c r="I127" s="14" t="n">
        <x:v>0</x:v>
      </x:c>
      <x:c r="J127" s="12" t="n">
        <x:v>49.36</x:v>
      </x:c>
      <x:c r="K127" s="12" t="n">
        <x:f>G127*H127*(1-I127)</x:f>
        <x:v>561.36</x:v>
      </x:c>
      <x:c r="L127" s="12" t="n">
        <x:f>K127-(G127*J127)</x:f>
        <x:v>265.20000000000005</x:v>
      </x:c>
      <x:c r="M127" s="16" t="n">
        <x:f>IFERROR(L127/K127,0)</x:f>
        <x:v>0.4724241128687474</x:v>
      </x:c>
    </x:row>
    <x:row r="128">
      <x:c r="A128" t="str">
        <x:v>ORD-00127</x:v>
      </x:c>
      <x:c r="B128" s="10" t="n">
        <x:v>46046</x:v>
      </x:c>
      <x:c r="C128" t="str">
        <x:v>Northeast</x:v>
      </x:c>
      <x:c r="D128" t="str">
        <x:v>Technology</x:v>
      </x:c>
      <x:c r="E128" t="str">
        <x:v>Laptop Pro</x:v>
      </x:c>
      <x:c r="F128" t="str">
        <x:v>Ana</x:v>
      </x:c>
      <x:c r="G128" t="n">
        <x:v>6</x:v>
      </x:c>
      <x:c r="H128" s="12" t="n">
        <x:v>1165.6</x:v>
      </x:c>
      <x:c r="I128" s="14" t="n">
        <x:v>0</x:v>
      </x:c>
      <x:c r="J128" s="12" t="n">
        <x:v>856.99</x:v>
      </x:c>
      <x:c r="K128" s="12" t="n">
        <x:f>G128*H128*(1-I128)</x:f>
        <x:v>6993.599999999999</x:v>
      </x:c>
      <x:c r="L128" s="12" t="n">
        <x:f>K128-(G128*J128)</x:f>
        <x:v>1851.659999999999</x:v>
      </x:c>
      <x:c r="M128" s="16" t="n">
        <x:f>IFERROR(L128/K128,0)</x:f>
        <x:v>0.26476492793411105</x:v>
      </x:c>
    </x:row>
    <x:row r="129">
      <x:c r="A129" t="str">
        <x:v>ORD-00128</x:v>
      </x:c>
      <x:c r="B129" s="10" t="n">
        <x:v>46235</x:v>
      </x:c>
      <x:c r="C129" t="str">
        <x:v>Midwest</x:v>
      </x:c>
      <x:c r="D129" t="str">
        <x:v>Office</x:v>
      </x:c>
      <x:c r="E129" t="str">
        <x:v>Desk Lamp</x:v>
      </x:c>
      <x:c r="F129" t="str">
        <x:v>Elisa</x:v>
      </x:c>
      <x:c r="G129" t="n">
        <x:v>4</x:v>
      </x:c>
      <x:c r="H129" s="12" t="n">
        <x:v>53.95</x:v>
      </x:c>
      <x:c r="I129" s="14" t="n">
        <x:v>0.15</x:v>
      </x:c>
      <x:c r="J129" s="12" t="n">
        <x:v>24.45</x:v>
      </x:c>
      <x:c r="K129" s="12" t="n">
        <x:f>G129*H129*(1-I129)</x:f>
        <x:v>183.43</x:v>
      </x:c>
      <x:c r="L129" s="12" t="n">
        <x:f>K129-(G129*J129)</x:f>
        <x:v>85.63000000000001</x:v>
      </x:c>
      <x:c r="M129" s="16" t="n">
        <x:f>IFERROR(L129/K129,0)</x:f>
        <x:v>0.4668265823474895</x:v>
      </x:c>
    </x:row>
    <x:row r="130">
      <x:c r="A130" t="str">
        <x:v>ORD-00129</x:v>
      </x:c>
      <x:c r="B130" s="10" t="n">
        <x:v>46023</x:v>
      </x:c>
      <x:c r="C130" t="str">
        <x:v>Southeast</x:v>
      </x:c>
      <x:c r="D130" t="str">
        <x:v>Office</x:v>
      </x:c>
      <x:c r="E130" t="str">
        <x:v>Office Chair</x:v>
      </x:c>
      <x:c r="F130" t="str">
        <x:v>Bruno</x:v>
      </x:c>
      <x:c r="G130" t="n">
        <x:v>5</x:v>
      </x:c>
      <x:c r="H130" s="12" t="n">
        <x:v>213.38</x:v>
      </x:c>
      <x:c r="I130" s="14" t="n">
        <x:v>0.1</x:v>
      </x:c>
      <x:c r="J130" s="12" t="n">
        <x:v>133.03</x:v>
      </x:c>
      <x:c r="K130" s="12" t="n">
        <x:f>G130*H130*(1-I130)</x:f>
        <x:v>960.2100000000002</x:v>
      </x:c>
      <x:c r="L130" s="12" t="n">
        <x:f>K130-(G130*J130)</x:f>
        <x:v>295.0600000000002</x:v>
      </x:c>
      <x:c r="M130" s="16" t="n">
        <x:f>IFERROR(L130/K130,0)</x:f>
        <x:v>0.30728694764686904</x:v>
      </x:c>
    </x:row>
    <x:row r="131">
      <x:c r="A131" t="str">
        <x:v>ORD-00130</x:v>
      </x:c>
      <x:c r="B131" s="10" t="n">
        <x:v>46026</x:v>
      </x:c>
      <x:c r="C131" t="str">
        <x:v>Southeast</x:v>
      </x:c>
      <x:c r="D131" t="str">
        <x:v>Office</x:v>
      </x:c>
      <x:c r="E131" t="str">
        <x:v>Desk Lamp</x:v>
      </x:c>
      <x:c r="F131" t="str">
        <x:v>Diego</x:v>
      </x:c>
      <x:c r="G131" t="n">
        <x:v>6</x:v>
      </x:c>
      <x:c r="H131" s="12" t="n">
        <x:v>54.11</x:v>
      </x:c>
      <x:c r="I131" s="14" t="n">
        <x:v>0</x:v>
      </x:c>
      <x:c r="J131" s="12" t="n">
        <x:v>23.67</x:v>
      </x:c>
      <x:c r="K131" s="12" t="n">
        <x:f>G131*H131*(1-I131)</x:f>
        <x:v>324.65999999999997</x:v>
      </x:c>
      <x:c r="L131" s="12" t="n">
        <x:f>K131-(G131*J131)</x:f>
        <x:v>182.63999999999996</x:v>
      </x:c>
      <x:c r="M131" s="16" t="n">
        <x:f>IFERROR(L131/K131,0)</x:f>
        <x:v>0.5625577527259286</x:v>
      </x:c>
    </x:row>
    <x:row r="132">
      <x:c r="A132" t="str">
        <x:v>ORD-00131</x:v>
      </x:c>
      <x:c r="B132" s="10" t="n">
        <x:v>46157</x:v>
      </x:c>
      <x:c r="C132" t="str">
        <x:v>Southeast</x:v>
      </x:c>
      <x:c r="D132" t="str">
        <x:v>Technology</x:v>
      </x:c>
      <x:c r="E132" t="str">
        <x:v>Wireless Mouse</x:v>
      </x:c>
      <x:c r="F132" t="str">
        <x:v>Elisa</x:v>
      </x:c>
      <x:c r="G132" t="n">
        <x:v>8</x:v>
      </x:c>
      <x:c r="H132" s="12" t="n">
        <x:v>35.22</x:v>
      </x:c>
      <x:c r="I132" s="14" t="n">
        <x:v>0.1</x:v>
      </x:c>
      <x:c r="J132" s="12" t="n">
        <x:v>15.77</x:v>
      </x:c>
      <x:c r="K132" s="12" t="n">
        <x:f>G132*H132*(1-I132)</x:f>
        <x:v>253.584</x:v>
      </x:c>
      <x:c r="L132" s="12" t="n">
        <x:f>K132-(G132*J132)</x:f>
        <x:v>127.424</x:v>
      </x:c>
      <x:c r="M132" s="16" t="n">
        <x:f>IFERROR(L132/K132,0)</x:f>
        <x:v>0.5024922708057291</x:v>
      </x:c>
    </x:row>
    <x:row r="133">
      <x:c r="A133" t="str">
        <x:v>ORD-00132</x:v>
      </x:c>
      <x:c r="B133" s="10" t="n">
        <x:v>46079</x:v>
      </x:c>
      <x:c r="C133" t="str">
        <x:v>North</x:v>
      </x:c>
      <x:c r="D133" t="str">
        <x:v>Technology</x:v>
      </x:c>
      <x:c r="E133" t="str">
        <x:v>Monitor 27</x:v>
      </x:c>
      <x:c r="F133" t="str">
        <x:v>Diego</x:v>
      </x:c>
      <x:c r="G133" t="n">
        <x:v>5</x:v>
      </x:c>
      <x:c r="H133" s="12" t="n">
        <x:v>303.56</x:v>
      </x:c>
      <x:c r="I133" s="14" t="n">
        <x:v>0.05</x:v>
      </x:c>
      <x:c r="J133" s="12" t="n">
        <x:v>176.95</x:v>
      </x:c>
      <x:c r="K133" s="12" t="n">
        <x:f>G133*H133*(1-I133)</x:f>
        <x:v>1441.9099999999999</x:v>
      </x:c>
      <x:c r="L133" s="12" t="n">
        <x:f>K133-(G133*J133)</x:f>
        <x:v>557.1599999999999</x:v>
      </x:c>
      <x:c r="M133" s="16" t="n">
        <x:f>IFERROR(L133/K133,0)</x:f>
        <x:v>0.3864041445027775</x:v>
      </x:c>
    </x:row>
    <x:row r="134">
      <x:c r="A134" t="str">
        <x:v>ORD-00133</x:v>
      </x:c>
      <x:c r="B134" s="10" t="n">
        <x:v>46239</x:v>
      </x:c>
      <x:c r="C134" t="str">
        <x:v>South</x:v>
      </x:c>
      <x:c r="D134" t="str">
        <x:v>Technology</x:v>
      </x:c>
      <x:c r="E134" t="str">
        <x:v>Wireless Mouse</x:v>
      </x:c>
      <x:c r="F134" t="str">
        <x:v>Ana</x:v>
      </x:c>
      <x:c r="G134" t="n">
        <x:v>8</x:v>
      </x:c>
      <x:c r="H134" s="12" t="n">
        <x:v>33.85</x:v>
      </x:c>
      <x:c r="I134" s="14" t="n">
        <x:v>0</x:v>
      </x:c>
      <x:c r="J134" s="12" t="n">
        <x:v>16.17</x:v>
      </x:c>
      <x:c r="K134" s="12" t="n">
        <x:f>G134*H134*(1-I134)</x:f>
        <x:v>270.8</x:v>
      </x:c>
      <x:c r="L134" s="12" t="n">
        <x:f>K134-(G134*J134)</x:f>
        <x:v>141.44</x:v>
      </x:c>
      <x:c r="M134" s="16" t="n">
        <x:f>IFERROR(L134/K134,0)</x:f>
        <x:v>0.5223042836041358</x:v>
      </x:c>
    </x:row>
    <x:row r="135">
      <x:c r="A135" t="str">
        <x:v>ORD-00134</x:v>
      </x:c>
      <x:c r="B135" s="10" t="n">
        <x:v>46055</x:v>
      </x:c>
      <x:c r="C135" t="str">
        <x:v>Southeast</x:v>
      </x:c>
      <x:c r="D135" t="str">
        <x:v>Accessories</x:v>
      </x:c>
      <x:c r="E135" t="str">
        <x:v>Backpack</x:v>
      </x:c>
      <x:c r="F135" t="str">
        <x:v>Felipe</x:v>
      </x:c>
      <x:c r="G135" t="n">
        <x:v>5</x:v>
      </x:c>
      <x:c r="H135" s="12" t="n">
        <x:v>86.23</x:v>
      </x:c>
      <x:c r="I135" s="14" t="n">
        <x:v>0.05</x:v>
      </x:c>
      <x:c r="J135" s="12" t="n">
        <x:v>41.37</x:v>
      </x:c>
      <x:c r="K135" s="12" t="n">
        <x:f>G135*H135*(1-I135)</x:f>
        <x:v>409.59250000000003</x:v>
      </x:c>
      <x:c r="L135" s="12" t="n">
        <x:f>K135-(G135*J135)</x:f>
        <x:v>202.74250000000004</x:v>
      </x:c>
      <x:c r="M135" s="16" t="n">
        <x:f>IFERROR(L135/K135,0)</x:f>
        <x:v>0.49498587010260203</x:v>
      </x:c>
    </x:row>
    <x:row r="136">
      <x:c r="A136" t="str">
        <x:v>ORD-00135</x:v>
      </x:c>
      <x:c r="B136" s="10" t="n">
        <x:v>46052</x:v>
      </x:c>
      <x:c r="C136" t="str">
        <x:v>Midwest</x:v>
      </x:c>
      <x:c r="D136" t="str">
        <x:v>Office</x:v>
      </x:c>
      <x:c r="E136" t="str">
        <x:v>Standing Desk</x:v>
      </x:c>
      <x:c r="F136" t="str">
        <x:v>Diego</x:v>
      </x:c>
      <x:c r="G136" t="n">
        <x:v>8</x:v>
      </x:c>
      <x:c r="H136" s="12" t="n">
        <x:v>418.84</x:v>
      </x:c>
      <x:c r="I136" s="14" t="n">
        <x:v>0.15</x:v>
      </x:c>
      <x:c r="J136" s="12" t="n">
        <x:v>275.77</x:v>
      </x:c>
      <x:c r="K136" s="12" t="n">
        <x:f>G136*H136*(1-I136)</x:f>
        <x:v>2848.1119999999996</x:v>
      </x:c>
      <x:c r="L136" s="12" t="n">
        <x:f>K136-(G136*J136)</x:f>
        <x:v>641.9519999999998</x:v>
      </x:c>
      <x:c r="M136" s="16" t="n">
        <x:f>IFERROR(L136/K136,0)</x:f>
        <x:v>0.2253956305089125</x:v>
      </x:c>
    </x:row>
    <x:row r="137">
      <x:c r="A137" t="str">
        <x:v>ORD-00136</x:v>
      </x:c>
      <x:c r="B137" s="10" t="n">
        <x:v>46129</x:v>
      </x:c>
      <x:c r="C137" t="str">
        <x:v>Northeast</x:v>
      </x:c>
      <x:c r="D137" t="str">
        <x:v>Accessories</x:v>
      </x:c>
      <x:c r="E137" t="str">
        <x:v>Backpack</x:v>
      </x:c>
      <x:c r="F137" t="str">
        <x:v>Diego</x:v>
      </x:c>
      <x:c r="G137" t="n">
        <x:v>6</x:v>
      </x:c>
      <x:c r="H137" s="12" t="n">
        <x:v>84.46</x:v>
      </x:c>
      <x:c r="I137" s="14" t="n">
        <x:v>0.1</x:v>
      </x:c>
      <x:c r="J137" s="12" t="n">
        <x:v>41.48</x:v>
      </x:c>
      <x:c r="K137" s="12" t="n">
        <x:f>G137*H137*(1-I137)</x:f>
        <x:v>456.084</x:v>
      </x:c>
      <x:c r="L137" s="12" t="n">
        <x:f>K137-(G137*J137)</x:f>
        <x:v>207.204</x:v>
      </x:c>
      <x:c r="M137" s="16" t="n">
        <x:f>IFERROR(L137/K137,0)</x:f>
        <x:v>0.4543110479648486</x:v>
      </x:c>
    </x:row>
    <x:row r="138">
      <x:c r="A138" t="str">
        <x:v>ORD-00137</x:v>
      </x:c>
      <x:c r="B138" s="10" t="n">
        <x:v>46040</x:v>
      </x:c>
      <x:c r="C138" t="str">
        <x:v>Southeast</x:v>
      </x:c>
      <x:c r="D138" t="str">
        <x:v>Technology</x:v>
      </x:c>
      <x:c r="E138" t="str">
        <x:v>Laptop Pro</x:v>
      </x:c>
      <x:c r="F138" t="str">
        <x:v>Elisa</x:v>
      </x:c>
      <x:c r="G138" t="n">
        <x:v>7</x:v>
      </x:c>
      <x:c r="H138" s="12" t="n">
        <x:v>1231.79</x:v>
      </x:c>
      <x:c r="I138" s="14" t="n">
        <x:v>0</x:v>
      </x:c>
      <x:c r="J138" s="12" t="n">
        <x:v>867.5</x:v>
      </x:c>
      <x:c r="K138" s="12" t="n">
        <x:f>G138*H138*(1-I138)</x:f>
        <x:v>8622.529999999999</x:v>
      </x:c>
      <x:c r="L138" s="12" t="n">
        <x:f>K138-(G138*J138)</x:f>
        <x:v>2550.029999999999</x:v>
      </x:c>
      <x:c r="M138" s="16" t="n">
        <x:f>IFERROR(L138/K138,0)</x:f>
        <x:v>0.29574034535107435</x:v>
      </x:c>
    </x:row>
    <x:row r="139">
      <x:c r="A139" t="str">
        <x:v>ORD-00138</x:v>
      </x:c>
      <x:c r="B139" s="10" t="n">
        <x:v>46038</x:v>
      </x:c>
      <x:c r="C139" t="str">
        <x:v>Northeast</x:v>
      </x:c>
      <x:c r="D139" t="str">
        <x:v>Accessories</x:v>
      </x:c>
      <x:c r="E139" t="str">
        <x:v>Webcam HD</x:v>
      </x:c>
      <x:c r="F139" t="str">
        <x:v>Diego</x:v>
      </x:c>
      <x:c r="G139" t="n">
        <x:v>2</x:v>
      </x:c>
      <x:c r="H139" s="12" t="n">
        <x:v>98.67</x:v>
      </x:c>
      <x:c r="I139" s="14" t="n">
        <x:v>0.05</x:v>
      </x:c>
      <x:c r="J139" s="12" t="n">
        <x:v>49.3</x:v>
      </x:c>
      <x:c r="K139" s="12" t="n">
        <x:f>G139*H139*(1-I139)</x:f>
        <x:v>187.47299999999998</x:v>
      </x:c>
      <x:c r="L139" s="12" t="n">
        <x:f>K139-(G139*J139)</x:f>
        <x:v>88.87299999999999</x:v>
      </x:c>
      <x:c r="M139" s="16" t="n">
        <x:f>IFERROR(L139/K139,0)</x:f>
        <x:v>0.4740575976273917</x:v>
      </x:c>
    </x:row>
    <x:row r="140">
      <x:c r="A140" t="str">
        <x:v>ORD-00139</x:v>
      </x:c>
      <x:c r="B140" s="10" t="n">
        <x:v>46245</x:v>
      </x:c>
      <x:c r="C140" t="str">
        <x:v>North</x:v>
      </x:c>
      <x:c r="D140" t="str">
        <x:v>Technology</x:v>
      </x:c>
      <x:c r="E140" t="str">
        <x:v>Wireless Mouse</x:v>
      </x:c>
      <x:c r="F140" t="str">
        <x:v>Felipe</x:v>
      </x:c>
      <x:c r="G140" t="n">
        <x:v>5</x:v>
      </x:c>
      <x:c r="H140" s="12" t="n">
        <x:v>35.42</x:v>
      </x:c>
      <x:c r="I140" s="14" t="n">
        <x:v>0.05</x:v>
      </x:c>
      <x:c r="J140" s="12" t="n">
        <x:v>15.85</x:v>
      </x:c>
      <x:c r="K140" s="12" t="n">
        <x:f>G140*H140*(1-I140)</x:f>
        <x:v>168.245</x:v>
      </x:c>
      <x:c r="L140" s="12" t="n">
        <x:f>K140-(G140*J140)</x:f>
        <x:v>88.995</x:v>
      </x:c>
      <x:c r="M140" s="16" t="n">
        <x:f>IFERROR(L140/K140,0)</x:f>
        <x:v>0.5289607417753871</x:v>
      </x:c>
    </x:row>
    <x:row r="141">
      <x:c r="A141" t="str">
        <x:v>ORD-00140</x:v>
      </x:c>
      <x:c r="B141" s="10" t="n">
        <x:v>46146</x:v>
      </x:c>
      <x:c r="C141" t="str">
        <x:v>Southeast</x:v>
      </x:c>
      <x:c r="D141" t="str">
        <x:v>Technology</x:v>
      </x:c>
      <x:c r="E141" t="str">
        <x:v>Wireless Mouse</x:v>
      </x:c>
      <x:c r="F141" t="str">
        <x:v>Diego</x:v>
      </x:c>
      <x:c r="G141" t="n">
        <x:v>6</x:v>
      </x:c>
      <x:c r="H141" s="12" t="n">
        <x:v>34.48</x:v>
      </x:c>
      <x:c r="I141" s="14" t="n">
        <x:v>0</x:v>
      </x:c>
      <x:c r="J141" s="12" t="n">
        <x:v>15.86</x:v>
      </x:c>
      <x:c r="K141" s="12" t="n">
        <x:f>G141*H141*(1-I141)</x:f>
        <x:v>206.88</x:v>
      </x:c>
      <x:c r="L141" s="12" t="n">
        <x:f>K141-(G141*J141)</x:f>
        <x:v>111.72</x:v>
      </x:c>
      <x:c r="M141" s="16" t="n">
        <x:f>IFERROR(L141/K141,0)</x:f>
        <x:v>0.5400232018561485</x:v>
      </x:c>
    </x:row>
    <x:row r="142">
      <x:c r="A142" t="str">
        <x:v>ORD-00141</x:v>
      </x:c>
      <x:c r="B142" s="10" t="n">
        <x:v>46239</x:v>
      </x:c>
      <x:c r="C142" t="str">
        <x:v>Northeast</x:v>
      </x:c>
      <x:c r="D142" t="str">
        <x:v>Technology</x:v>
      </x:c>
      <x:c r="E142" t="str">
        <x:v>Monitor 27</x:v>
      </x:c>
      <x:c r="F142" t="str">
        <x:v>Carla</x:v>
      </x:c>
      <x:c r="G142" t="n">
        <x:v>5</x:v>
      </x:c>
      <x:c r="H142" s="12" t="n">
        <x:v>285.53</x:v>
      </x:c>
      <x:c r="I142" s="14" t="n">
        <x:v>0</x:v>
      </x:c>
      <x:c r="J142" s="12" t="n">
        <x:v>183.26</x:v>
      </x:c>
      <x:c r="K142" s="12" t="n">
        <x:f>G142*H142*(1-I142)</x:f>
        <x:v>1427.6499999999999</x:v>
      </x:c>
      <x:c r="L142" s="12" t="n">
        <x:f>K142-(G142*J142)</x:f>
        <x:v>511.3499999999999</x:v>
      </x:c>
      <x:c r="M142" s="16" t="n">
        <x:f>IFERROR(L142/K142,0)</x:f>
        <x:v>0.3581760235351802</x:v>
      </x:c>
    </x:row>
    <x:row r="143">
      <x:c r="A143" t="str">
        <x:v>ORD-00142</x:v>
      </x:c>
      <x:c r="B143" s="10" t="n">
        <x:v>46112</x:v>
      </x:c>
      <x:c r="C143" t="str">
        <x:v>Southeast</x:v>
      </x:c>
      <x:c r="D143" t="str">
        <x:v>Office</x:v>
      </x:c>
      <x:c r="E143" t="str">
        <x:v>Desk Lamp</x:v>
      </x:c>
      <x:c r="F143" t="str">
        <x:v>Ana</x:v>
      </x:c>
      <x:c r="G143" t="n">
        <x:v>7</x:v>
      </x:c>
      <x:c r="H143" s="12" t="n">
        <x:v>56.47</x:v>
      </x:c>
      <x:c r="I143" s="14" t="n">
        <x:v>0</x:v>
      </x:c>
      <x:c r="J143" s="12" t="n">
        <x:v>24.69</x:v>
      </x:c>
      <x:c r="K143" s="12" t="n">
        <x:f>G143*H143*(1-I143)</x:f>
        <x:v>395.28999999999996</x:v>
      </x:c>
      <x:c r="L143" s="12" t="n">
        <x:f>K143-(G143*J143)</x:f>
        <x:v>222.45999999999995</x:v>
      </x:c>
      <x:c r="M143" s="16" t="n">
        <x:f>IFERROR(L143/K143,0)</x:f>
        <x:v>0.562776695590579</x:v>
      </x:c>
    </x:row>
    <x:row r="144">
      <x:c r="A144" t="str">
        <x:v>ORD-00143</x:v>
      </x:c>
      <x:c r="B144" s="10" t="n">
        <x:v>46214</x:v>
      </x:c>
      <x:c r="C144" t="str">
        <x:v>South</x:v>
      </x:c>
      <x:c r="D144" t="str">
        <x:v>Home</x:v>
      </x:c>
      <x:c r="E144" t="str">
        <x:v>Coffee Maker</x:v>
      </x:c>
      <x:c r="F144" t="str">
        <x:v>Elisa</x:v>
      </x:c>
      <x:c r="G144" t="n">
        <x:v>8</x:v>
      </x:c>
      <x:c r="H144" s="12" t="n">
        <x:v>124.16</x:v>
      </x:c>
      <x:c r="I144" s="14" t="n">
        <x:v>0</x:v>
      </x:c>
      <x:c r="J144" s="12" t="n">
        <x:v>73.16</x:v>
      </x:c>
      <x:c r="K144" s="12" t="n">
        <x:f>G144*H144*(1-I144)</x:f>
        <x:v>993.28</x:v>
      </x:c>
      <x:c r="L144" s="12" t="n">
        <x:f>K144-(G144*J144)</x:f>
        <x:v>408</x:v>
      </x:c>
      <x:c r="M144" s="16" t="n">
        <x:f>IFERROR(L144/K144,0)</x:f>
        <x:v>0.4107603092783505</x:v>
      </x:c>
    </x:row>
    <x:row r="145">
      <x:c r="A145" t="str">
        <x:v>ORD-00144</x:v>
      </x:c>
      <x:c r="B145" s="10" t="n">
        <x:v>46175</x:v>
      </x:c>
      <x:c r="C145" t="str">
        <x:v>Southeast</x:v>
      </x:c>
      <x:c r="D145" t="str">
        <x:v>Technology</x:v>
      </x:c>
      <x:c r="E145" t="str">
        <x:v>Laptop Pro</x:v>
      </x:c>
      <x:c r="F145" t="str">
        <x:v>Diego</x:v>
      </x:c>
      <x:c r="G145" t="n">
        <x:v>3</x:v>
      </x:c>
      <x:c r="H145" s="12" t="n">
        <x:v>1157.37</x:v>
      </x:c>
      <x:c r="I145" s="14" t="n">
        <x:v>0.1</x:v>
      </x:c>
      <x:c r="J145" s="12" t="n">
        <x:v>836.47</x:v>
      </x:c>
      <x:c r="K145" s="12" t="n">
        <x:f>G145*H145*(1-I145)</x:f>
        <x:v>3124.899</x:v>
      </x:c>
      <x:c r="L145" s="12" t="n">
        <x:f>K145-(G145*J145)</x:f>
        <x:v>615.489</x:v>
      </x:c>
      <x:c r="M145" s="16" t="n">
        <x:f>IFERROR(L145/K145,0)</x:f>
        <x:v>0.19696284583917753</x:v>
      </x:c>
    </x:row>
    <x:row r="146">
      <x:c r="A146" t="str">
        <x:v>ORD-00145</x:v>
      </x:c>
      <x:c r="B146" s="10" t="n">
        <x:v>46192</x:v>
      </x:c>
      <x:c r="C146" t="str">
        <x:v>South</x:v>
      </x:c>
      <x:c r="D146" t="str">
        <x:v>Home</x:v>
      </x:c>
      <x:c r="E146" t="str">
        <x:v>Coffee Maker</x:v>
      </x:c>
      <x:c r="F146" t="str">
        <x:v>Ana</x:v>
      </x:c>
      <x:c r="G146" t="n">
        <x:v>5</x:v>
      </x:c>
      <x:c r="H146" s="12" t="n">
        <x:v>125.76</x:v>
      </x:c>
      <x:c r="I146" s="14" t="n">
        <x:v>0</x:v>
      </x:c>
      <x:c r="J146" s="12" t="n">
        <x:v>71.8</x:v>
      </x:c>
      <x:c r="K146" s="12" t="n">
        <x:f>G146*H146*(1-I146)</x:f>
        <x:v>628.8000000000001</x:v>
      </x:c>
      <x:c r="L146" s="12" t="n">
        <x:f>K146-(G146*J146)</x:f>
        <x:v>269.80000000000007</x:v>
      </x:c>
      <x:c r="M146" s="16" t="n">
        <x:f>IFERROR(L146/K146,0)</x:f>
        <x:v>0.4290712468193385</x:v>
      </x:c>
    </x:row>
    <x:row r="147">
      <x:c r="A147" t="str">
        <x:v>ORD-00146</x:v>
      </x:c>
      <x:c r="B147" s="10" t="n">
        <x:v>46095</x:v>
      </x:c>
      <x:c r="C147" t="str">
        <x:v>Northeast</x:v>
      </x:c>
      <x:c r="D147" t="str">
        <x:v>Home</x:v>
      </x:c>
      <x:c r="E147" t="str">
        <x:v>Smart Lamp</x:v>
      </x:c>
      <x:c r="F147" t="str">
        <x:v>Ana</x:v>
      </x:c>
      <x:c r="G147" t="n">
        <x:v>5</x:v>
      </x:c>
      <x:c r="H147" s="12" t="n">
        <x:v>64.71</x:v>
      </x:c>
      <x:c r="I147" s="14" t="n">
        <x:v>0</x:v>
      </x:c>
      <x:c r="J147" s="12" t="n">
        <x:v>29.29</x:v>
      </x:c>
      <x:c r="K147" s="12" t="n">
        <x:f>G147*H147*(1-I147)</x:f>
        <x:v>323.54999999999995</x:v>
      </x:c>
      <x:c r="L147" s="12" t="n">
        <x:f>K147-(G147*J147)</x:f>
        <x:v>177.09999999999997</x:v>
      </x:c>
      <x:c r="M147" s="16" t="n">
        <x:f>IFERROR(L147/K147,0)</x:f>
        <x:v>0.5473651676711482</x:v>
      </x:c>
    </x:row>
    <x:row r="148">
      <x:c r="A148" t="str">
        <x:v>ORD-00147</x:v>
      </x:c>
      <x:c r="B148" s="10" t="n">
        <x:v>46075</x:v>
      </x:c>
      <x:c r="C148" t="str">
        <x:v>Southeast</x:v>
      </x:c>
      <x:c r="D148" t="str">
        <x:v>Office</x:v>
      </x:c>
      <x:c r="E148" t="str">
        <x:v>Office Chair</x:v>
      </x:c>
      <x:c r="F148" t="str">
        <x:v>Diego</x:v>
      </x:c>
      <x:c r="G148" t="n">
        <x:v>5</x:v>
      </x:c>
      <x:c r="H148" s="12" t="n">
        <x:v>213.58</x:v>
      </x:c>
      <x:c r="I148" s="14" t="n">
        <x:v>0</x:v>
      </x:c>
      <x:c r="J148" s="12" t="n">
        <x:v>130.63</x:v>
      </x:c>
      <x:c r="K148" s="12" t="n">
        <x:f>G148*H148*(1-I148)</x:f>
        <x:v>1067.9</x:v>
      </x:c>
      <x:c r="L148" s="12" t="n">
        <x:f>K148-(G148*J148)</x:f>
        <x:v>414.7500000000001</x:v>
      </x:c>
      <x:c r="M148" s="16" t="n">
        <x:f>IFERROR(L148/K148,0)</x:f>
        <x:v>0.388379061709898</x:v>
      </x:c>
    </x:row>
    <x:row r="149">
      <x:c r="A149" t="str">
        <x:v>ORD-00148</x:v>
      </x:c>
      <x:c r="B149" s="10" t="n">
        <x:v>46067</x:v>
      </x:c>
      <x:c r="C149" t="str">
        <x:v>Southeast</x:v>
      </x:c>
      <x:c r="D149" t="str">
        <x:v>Office</x:v>
      </x:c>
      <x:c r="E149" t="str">
        <x:v>Desk Lamp</x:v>
      </x:c>
      <x:c r="F149" t="str">
        <x:v>Ana</x:v>
      </x:c>
      <x:c r="G149" t="n">
        <x:v>6</x:v>
      </x:c>
      <x:c r="H149" s="12" t="n">
        <x:v>57.07</x:v>
      </x:c>
      <x:c r="I149" s="14" t="n">
        <x:v>0</x:v>
      </x:c>
      <x:c r="J149" s="12" t="n">
        <x:v>23.57</x:v>
      </x:c>
      <x:c r="K149" s="12" t="n">
        <x:f>G149*H149*(1-I149)</x:f>
        <x:v>342.42</x:v>
      </x:c>
      <x:c r="L149" s="12" t="n">
        <x:f>K149-(G149*J149)</x:f>
        <x:v>201</x:v>
      </x:c>
      <x:c r="M149" s="16" t="n">
        <x:f>IFERROR(L149/K149,0)</x:f>
        <x:v>0.5869984229893114</x:v>
      </x:c>
    </x:row>
    <x:row r="150">
      <x:c r="A150" t="str">
        <x:v>ORD-00149</x:v>
      </x:c>
      <x:c r="B150" s="10" t="n">
        <x:v>46140</x:v>
      </x:c>
      <x:c r="C150" t="str">
        <x:v>North</x:v>
      </x:c>
      <x:c r="D150" t="str">
        <x:v>Accessories</x:v>
      </x:c>
      <x:c r="E150" t="str">
        <x:v>Webcam HD</x:v>
      </x:c>
      <x:c r="F150" t="str">
        <x:v>Ana</x:v>
      </x:c>
      <x:c r="G150" t="n">
        <x:v>7</x:v>
      </x:c>
      <x:c r="H150" s="12" t="n">
        <x:v>97.27</x:v>
      </x:c>
      <x:c r="I150" s="14" t="n">
        <x:v>0.05</x:v>
      </x:c>
      <x:c r="J150" s="12" t="n">
        <x:v>48.04</x:v>
      </x:c>
      <x:c r="K150" s="12" t="n">
        <x:f>G150*H150*(1-I150)</x:f>
        <x:v>646.8454999999999</x:v>
      </x:c>
      <x:c r="L150" s="12" t="n">
        <x:f>K150-(G150*J150)</x:f>
        <x:v>310.56549999999993</x:v>
      </x:c>
      <x:c r="M150" s="16" t="n">
        <x:f>IFERROR(L150/K150,0)</x:f>
        <x:v>0.4801231515099046</x:v>
      </x:c>
    </x:row>
    <x:row r="151">
      <x:c r="A151" t="str">
        <x:v>ORD-00150</x:v>
      </x:c>
      <x:c r="B151" s="10" t="n">
        <x:v>46126</x:v>
      </x:c>
      <x:c r="C151" t="str">
        <x:v>Southeast</x:v>
      </x:c>
      <x:c r="D151" t="str">
        <x:v>Accessories</x:v>
      </x:c>
      <x:c r="E151" t="str">
        <x:v>USB-C Hub</x:v>
      </x:c>
      <x:c r="F151" t="str">
        <x:v>Ana</x:v>
      </x:c>
      <x:c r="G151" t="n">
        <x:v>8</x:v>
      </x:c>
      <x:c r="H151" s="12" t="n">
        <x:v>72.99</x:v>
      </x:c>
      <x:c r="I151" s="14" t="n">
        <x:v>0.15</x:v>
      </x:c>
      <x:c r="J151" s="12" t="n">
        <x:v>31.5</x:v>
      </x:c>
      <x:c r="K151" s="12" t="n">
        <x:f>G151*H151*(1-I151)</x:f>
        <x:v>496.33199999999994</x:v>
      </x:c>
      <x:c r="L151" s="12" t="n">
        <x:f>K151-(G151*J151)</x:f>
        <x:v>244.33199999999994</x:v>
      </x:c>
      <x:c r="M151" s="16" t="n">
        <x:f>IFERROR(L151/K151,0)</x:f>
        <x:v>0.49227533183433664</x:v>
      </x:c>
    </x:row>
    <x:row r="152">
      <x:c r="A152" t="str">
        <x:v>ORD-00151</x:v>
      </x:c>
      <x:c r="B152" s="10" t="n">
        <x:v>46085</x:v>
      </x:c>
      <x:c r="C152" t="str">
        <x:v>South</x:v>
      </x:c>
      <x:c r="D152" t="str">
        <x:v>Home</x:v>
      </x:c>
      <x:c r="E152" t="str">
        <x:v>Smart Lamp</x:v>
      </x:c>
      <x:c r="F152" t="str">
        <x:v>Carla</x:v>
      </x:c>
      <x:c r="G152" t="n">
        <x:v>2</x:v>
      </x:c>
      <x:c r="H152" s="12" t="n">
        <x:v>64.22</x:v>
      </x:c>
      <x:c r="I152" s="14" t="n">
        <x:v>0.05</x:v>
      </x:c>
      <x:c r="J152" s="12" t="n">
        <x:v>28.91</x:v>
      </x:c>
      <x:c r="K152" s="12" t="n">
        <x:f>G152*H152*(1-I152)</x:f>
        <x:v>122.01799999999999</x:v>
      </x:c>
      <x:c r="L152" s="12" t="n">
        <x:f>K152-(G152*J152)</x:f>
        <x:v>64.19799999999998</x:v>
      </x:c>
      <x:c r="M152" s="16" t="n">
        <x:f>IFERROR(L152/K152,0)</x:f>
        <x:v>0.5261354882066579</x:v>
      </x:c>
    </x:row>
    <x:row r="153">
      <x:c r="A153" t="str">
        <x:v>ORD-00152</x:v>
      </x:c>
      <x:c r="B153" s="10" t="n">
        <x:v>46222</x:v>
      </x:c>
      <x:c r="C153" t="str">
        <x:v>Southeast</x:v>
      </x:c>
      <x:c r="D153" t="str">
        <x:v>Technology</x:v>
      </x:c>
      <x:c r="E153" t="str">
        <x:v>Monitor 27</x:v>
      </x:c>
      <x:c r="F153" t="str">
        <x:v>Felipe</x:v>
      </x:c>
      <x:c r="G153" t="n">
        <x:v>4</x:v>
      </x:c>
      <x:c r="H153" s="12" t="n">
        <x:v>287.52</x:v>
      </x:c>
      <x:c r="I153" s="14" t="n">
        <x:v>0.15</x:v>
      </x:c>
      <x:c r="J153" s="12" t="n">
        <x:v>182.95</x:v>
      </x:c>
      <x:c r="K153" s="12" t="n">
        <x:f>G153*H153*(1-I153)</x:f>
        <x:v>977.5679999999999</x:v>
      </x:c>
      <x:c r="L153" s="12" t="n">
        <x:f>K153-(G153*J153)</x:f>
        <x:v>245.76799999999992</x:v>
      </x:c>
      <x:c r="M153" s="16" t="n">
        <x:f>IFERROR(L153/K153,0)</x:f>
        <x:v>0.2514075747160299</x:v>
      </x:c>
    </x:row>
    <x:row r="154">
      <x:c r="A154" t="str">
        <x:v>ORD-00153</x:v>
      </x:c>
      <x:c r="B154" s="10" t="n">
        <x:v>46231</x:v>
      </x:c>
      <x:c r="C154" t="str">
        <x:v>Southeast</x:v>
      </x:c>
      <x:c r="D154" t="str">
        <x:v>Technology</x:v>
      </x:c>
      <x:c r="E154" t="str">
        <x:v>Laptop Pro</x:v>
      </x:c>
      <x:c r="F154" t="str">
        <x:v>Felipe</x:v>
      </x:c>
      <x:c r="G154" t="n">
        <x:v>5</x:v>
      </x:c>
      <x:c r="H154" s="12" t="n">
        <x:v>1217.06</x:v>
      </x:c>
      <x:c r="I154" s="14" t="n">
        <x:v>0</x:v>
      </x:c>
      <x:c r="J154" s="12" t="n">
        <x:v>865.31</x:v>
      </x:c>
      <x:c r="K154" s="12" t="n">
        <x:f>G154*H154*(1-I154)</x:f>
        <x:v>6085.299999999999</x:v>
      </x:c>
      <x:c r="L154" s="12" t="n">
        <x:f>K154-(G154*J154)</x:f>
        <x:v>1758.75</x:v>
      </x:c>
      <x:c r="M154" s="16" t="n">
        <x:f>IFERROR(L154/K154,0)</x:f>
        <x:v>0.28901615368182343</x:v>
      </x:c>
    </x:row>
    <x:row r="155">
      <x:c r="A155" t="str">
        <x:v>ORD-00154</x:v>
      </x:c>
      <x:c r="B155" s="10" t="n">
        <x:v>46042</x:v>
      </x:c>
      <x:c r="C155" t="str">
        <x:v>Southeast</x:v>
      </x:c>
      <x:c r="D155" t="str">
        <x:v>Home</x:v>
      </x:c>
      <x:c r="E155" t="str">
        <x:v>Coffee Maker</x:v>
      </x:c>
      <x:c r="F155" t="str">
        <x:v>Elisa</x:v>
      </x:c>
      <x:c r="G155" t="n">
        <x:v>8</x:v>
      </x:c>
      <x:c r="H155" s="12" t="n">
        <x:v>129.92</x:v>
      </x:c>
      <x:c r="I155" s="14" t="n">
        <x:v>0.1</x:v>
      </x:c>
      <x:c r="J155" s="12" t="n">
        <x:v>72.87</x:v>
      </x:c>
      <x:c r="K155" s="12" t="n">
        <x:f>G155*H155*(1-I155)</x:f>
        <x:v>935.424</x:v>
      </x:c>
      <x:c r="L155" s="12" t="n">
        <x:f>K155-(G155*J155)</x:f>
        <x:v>352.46399999999994</x:v>
      </x:c>
      <x:c r="M155" s="16" t="n">
        <x:f>IFERROR(L155/K155,0)</x:f>
        <x:v>0.3767959770114942</x:v>
      </x:c>
    </x:row>
    <x:row r="156">
      <x:c r="A156" t="str">
        <x:v>ORD-00155</x:v>
      </x:c>
      <x:c r="B156" s="10" t="n">
        <x:v>46105</x:v>
      </x:c>
      <x:c r="C156" t="str">
        <x:v>Midwest</x:v>
      </x:c>
      <x:c r="D156" t="str">
        <x:v>Accessories</x:v>
      </x:c>
      <x:c r="E156" t="str">
        <x:v>USB-C Hub</x:v>
      </x:c>
      <x:c r="F156" t="str">
        <x:v>Carla</x:v>
      </x:c>
      <x:c r="G156" t="n">
        <x:v>8</x:v>
      </x:c>
      <x:c r="H156" s="12" t="n">
        <x:v>69.99</x:v>
      </x:c>
      <x:c r="I156" s="14" t="n">
        <x:v>0</x:v>
      </x:c>
      <x:c r="J156" s="12" t="n">
        <x:v>31.84</x:v>
      </x:c>
      <x:c r="K156" s="12" t="n">
        <x:f>G156*H156*(1-I156)</x:f>
        <x:v>559.92</x:v>
      </x:c>
      <x:c r="L156" s="12" t="n">
        <x:f>K156-(G156*J156)</x:f>
        <x:v>305.19999999999993</x:v>
      </x:c>
      <x:c r="M156" s="16" t="n">
        <x:f>IFERROR(L156/K156,0)</x:f>
        <x:v>0.5450778682668952</x:v>
      </x:c>
    </x:row>
    <x:row r="157">
      <x:c r="A157" t="str">
        <x:v>ORD-00156</x:v>
      </x:c>
      <x:c r="B157" s="10" t="n">
        <x:v>46174</x:v>
      </x:c>
      <x:c r="C157" t="str">
        <x:v>Southeast</x:v>
      </x:c>
      <x:c r="D157" t="str">
        <x:v>Technology</x:v>
      </x:c>
      <x:c r="E157" t="str">
        <x:v>Wireless Mouse</x:v>
      </x:c>
      <x:c r="F157" t="str">
        <x:v>Ana</x:v>
      </x:c>
      <x:c r="G157" t="n">
        <x:v>8</x:v>
      </x:c>
      <x:c r="H157" s="12" t="n">
        <x:v>33.78</x:v>
      </x:c>
      <x:c r="I157" s="14" t="n">
        <x:v>0.05</x:v>
      </x:c>
      <x:c r="J157" s="12" t="n">
        <x:v>16.35</x:v>
      </x:c>
      <x:c r="K157" s="12" t="n">
        <x:f>G157*H157*(1-I157)</x:f>
        <x:v>256.728</x:v>
      </x:c>
      <x:c r="L157" s="12" t="n">
        <x:f>K157-(G157*J157)</x:f>
        <x:v>125.928</x:v>
      </x:c>
      <x:c r="M157" s="16" t="n">
        <x:f>IFERROR(L157/K157,0)</x:f>
        <x:v>0.49051135832476395</x:v>
      </x:c>
    </x:row>
    <x:row r="158">
      <x:c r="A158" t="str">
        <x:v>ORD-00157</x:v>
      </x:c>
      <x:c r="B158" s="10" t="n">
        <x:v>46188</x:v>
      </x:c>
      <x:c r="C158" t="str">
        <x:v>Midwest</x:v>
      </x:c>
      <x:c r="D158" t="str">
        <x:v>Technology</x:v>
      </x:c>
      <x:c r="E158" t="str">
        <x:v>Monitor 27</x:v>
      </x:c>
      <x:c r="F158" t="str">
        <x:v>Ana</x:v>
      </x:c>
      <x:c r="G158" t="n">
        <x:v>7</x:v>
      </x:c>
      <x:c r="H158" s="12" t="n">
        <x:v>292.87</x:v>
      </x:c>
      <x:c r="I158" s="14" t="n">
        <x:v>0.05</x:v>
      </x:c>
      <x:c r="J158" s="12" t="n">
        <x:v>183.53</x:v>
      </x:c>
      <x:c r="K158" s="12" t="n">
        <x:f>G158*H158*(1-I158)</x:f>
        <x:v>1947.5855000000001</x:v>
      </x:c>
      <x:c r="L158" s="12" t="n">
        <x:f>K158-(G158*J158)</x:f>
        <x:v>662.8755000000001</x:v>
      </x:c>
      <x:c r="M158" s="16" t="n">
        <x:f>IFERROR(L158/K158,0)</x:f>
        <x:v>0.3403575863550022</x:v>
      </x:c>
    </x:row>
    <x:row r="159">
      <x:c r="A159" t="str">
        <x:v>ORD-00158</x:v>
      </x:c>
      <x:c r="B159" s="10" t="n">
        <x:v>46138</x:v>
      </x:c>
      <x:c r="C159" t="str">
        <x:v>North</x:v>
      </x:c>
      <x:c r="D159" t="str">
        <x:v>Office</x:v>
      </x:c>
      <x:c r="E159" t="str">
        <x:v>Standing Desk</x:v>
      </x:c>
      <x:c r="F159" t="str">
        <x:v>Carla</x:v>
      </x:c>
      <x:c r="G159" t="n">
        <x:v>8</x:v>
      </x:c>
      <x:c r="H159" s="12" t="n">
        <x:v>439.4</x:v>
      </x:c>
      <x:c r="I159" s="14" t="n">
        <x:v>0.05</x:v>
      </x:c>
      <x:c r="J159" s="12" t="n">
        <x:v>270.68</x:v>
      </x:c>
      <x:c r="K159" s="12" t="n">
        <x:f>G159*H159*(1-I159)</x:f>
        <x:v>3339.4399999999996</x:v>
      </x:c>
      <x:c r="L159" s="12" t="n">
        <x:f>K159-(G159*J159)</x:f>
        <x:v>1173.9999999999995</x:v>
      </x:c>
      <x:c r="M159" s="16" t="n">
        <x:f>IFERROR(L159/K159,0)</x:f>
        <x:v>0.35155594950051494</x:v>
      </x:c>
    </x:row>
    <x:row r="160">
      <x:c r="A160" t="str">
        <x:v>ORD-00159</x:v>
      </x:c>
      <x:c r="B160" s="10" t="n">
        <x:v>46205</x:v>
      </x:c>
      <x:c r="C160" t="str">
        <x:v>Southeast</x:v>
      </x:c>
      <x:c r="D160" t="str">
        <x:v>Office</x:v>
      </x:c>
      <x:c r="E160" t="str">
        <x:v>Office Chair</x:v>
      </x:c>
      <x:c r="F160" t="str">
        <x:v>Elisa</x:v>
      </x:c>
      <x:c r="G160" t="n">
        <x:v>4</x:v>
      </x:c>
      <x:c r="H160" s="12" t="n">
        <x:v>230.82</x:v>
      </x:c>
      <x:c r="I160" s="14" t="n">
        <x:v>0.1</x:v>
      </x:c>
      <x:c r="J160" s="12" t="n">
        <x:v>130.81</x:v>
      </x:c>
      <x:c r="K160" s="12" t="n">
        <x:f>G160*H160*(1-I160)</x:f>
        <x:v>830.952</x:v>
      </x:c>
      <x:c r="L160" s="12" t="n">
        <x:f>K160-(G160*J160)</x:f>
        <x:v>307.712</x:v>
      </x:c>
      <x:c r="M160" s="16" t="n">
        <x:f>IFERROR(L160/K160,0)</x:f>
        <x:v>0.37031260530090787</x:v>
      </x:c>
    </x:row>
    <x:row r="161">
      <x:c r="A161" t="str">
        <x:v>ORD-00160</x:v>
      </x:c>
      <x:c r="B161" s="10" t="n">
        <x:v>46063</x:v>
      </x:c>
      <x:c r="C161" t="str">
        <x:v>South</x:v>
      </x:c>
      <x:c r="D161" t="str">
        <x:v>Accessories</x:v>
      </x:c>
      <x:c r="E161" t="str">
        <x:v>Backpack</x:v>
      </x:c>
      <x:c r="F161" t="str">
        <x:v>Felipe</x:v>
      </x:c>
      <x:c r="G161" t="n">
        <x:v>7</x:v>
      </x:c>
      <x:c r="H161" s="12" t="n">
        <x:v>86.79</x:v>
      </x:c>
      <x:c r="I161" s="14" t="n">
        <x:v>0.1</x:v>
      </x:c>
      <x:c r="J161" s="12" t="n">
        <x:v>41.27</x:v>
      </x:c>
      <x:c r="K161" s="12" t="n">
        <x:f>G161*H161*(1-I161)</x:f>
        <x:v>546.777</x:v>
      </x:c>
      <x:c r="L161" s="12" t="n">
        <x:f>K161-(G161*J161)</x:f>
        <x:v>257.887</x:v>
      </x:c>
      <x:c r="M161" s="16" t="n">
        <x:f>IFERROR(L161/K161,0)</x:f>
        <x:v>0.4716493195580648</x:v>
      </x:c>
    </x:row>
    <x:row r="162">
      <x:c r="A162" t="str">
        <x:v>ORD-00161</x:v>
      </x:c>
      <x:c r="B162" s="10" t="n">
        <x:v>46188</x:v>
      </x:c>
      <x:c r="C162" t="str">
        <x:v>Southeast</x:v>
      </x:c>
      <x:c r="D162" t="str">
        <x:v>Accessories</x:v>
      </x:c>
      <x:c r="E162" t="str">
        <x:v>USB-C Hub</x:v>
      </x:c>
      <x:c r="F162" t="str">
        <x:v>Elisa</x:v>
      </x:c>
      <x:c r="G162" t="n">
        <x:v>7</x:v>
      </x:c>
      <x:c r="H162" s="12" t="n">
        <x:v>71.76</x:v>
      </x:c>
      <x:c r="I162" s="14" t="n">
        <x:v>0</x:v>
      </x:c>
      <x:c r="J162" s="12" t="n">
        <x:v>32.41</x:v>
      </x:c>
      <x:c r="K162" s="12" t="n">
        <x:f>G162*H162*(1-I162)</x:f>
        <x:v>502.32000000000005</x:v>
      </x:c>
      <x:c r="L162" s="12" t="n">
        <x:f>K162-(G162*J162)</x:f>
        <x:v>275.45000000000005</x:v>
      </x:c>
      <x:c r="M162" s="16" t="n">
        <x:f>IFERROR(L162/K162,0)</x:f>
        <x:v>0.5483556298773691</x:v>
      </x:c>
    </x:row>
    <x:row r="163">
      <x:c r="A163" t="str">
        <x:v>ORD-00162</x:v>
      </x:c>
      <x:c r="B163" s="10" t="n">
        <x:v>46246</x:v>
      </x:c>
      <x:c r="C163" t="str">
        <x:v>Southeast</x:v>
      </x:c>
      <x:c r="D163" t="str">
        <x:v>Technology</x:v>
      </x:c>
      <x:c r="E163" t="str">
        <x:v>Monitor 27</x:v>
      </x:c>
      <x:c r="F163" t="str">
        <x:v>Felipe</x:v>
      </x:c>
      <x:c r="G163" t="n">
        <x:v>3</x:v>
      </x:c>
      <x:c r="H163" s="12" t="n">
        <x:v>286.5</x:v>
      </x:c>
      <x:c r="I163" s="14" t="n">
        <x:v>0.15</x:v>
      </x:c>
      <x:c r="J163" s="12" t="n">
        <x:v>182.3</x:v>
      </x:c>
      <x:c r="K163" s="12" t="n">
        <x:f>G163*H163*(1-I163)</x:f>
        <x:v>730.5749999999999</x:v>
      </x:c>
      <x:c r="L163" s="12" t="n">
        <x:f>K163-(G163*J163)</x:f>
        <x:v>183.67499999999984</x:v>
      </x:c>
      <x:c r="M163" s="16" t="n">
        <x:f>IFERROR(L163/K163,0)</x:f>
        <x:v>0.25141155938815296</x:v>
      </x:c>
    </x:row>
    <x:row r="164">
      <x:c r="A164" t="str">
        <x:v>ORD-00163</x:v>
      </x:c>
      <x:c r="B164" s="10" t="n">
        <x:v>46123</x:v>
      </x:c>
      <x:c r="C164" t="str">
        <x:v>Southeast</x:v>
      </x:c>
      <x:c r="D164" t="str">
        <x:v>Technology</x:v>
      </x:c>
      <x:c r="E164" t="str">
        <x:v>Wireless Mouse</x:v>
      </x:c>
      <x:c r="F164" t="str">
        <x:v>Felipe</x:v>
      </x:c>
      <x:c r="G164" t="n">
        <x:v>7</x:v>
      </x:c>
      <x:c r="H164" s="12" t="n">
        <x:v>34.63</x:v>
      </x:c>
      <x:c r="I164" s="14" t="n">
        <x:v>0.1</x:v>
      </x:c>
      <x:c r="J164" s="12" t="n">
        <x:v>15.78</x:v>
      </x:c>
      <x:c r="K164" s="12" t="n">
        <x:f>G164*H164*(1-I164)</x:f>
        <x:v>218.16900000000004</x:v>
      </x:c>
      <x:c r="L164" s="12" t="n">
        <x:f>K164-(G164*J164)</x:f>
        <x:v>107.70900000000005</x:v>
      </x:c>
      <x:c r="M164" s="16" t="n">
        <x:f>IFERROR(L164/K164,0)</x:f>
        <x:v>0.49369525459620767</x:v>
      </x:c>
    </x:row>
    <x:row r="165">
      <x:c r="A165" t="str">
        <x:v>ORD-00164</x:v>
      </x:c>
      <x:c r="B165" s="10" t="n">
        <x:v>46235</x:v>
      </x:c>
      <x:c r="C165" t="str">
        <x:v>North</x:v>
      </x:c>
      <x:c r="D165" t="str">
        <x:v>Technology</x:v>
      </x:c>
      <x:c r="E165" t="str">
        <x:v>Monitor 27</x:v>
      </x:c>
      <x:c r="F165" t="str">
        <x:v>Bruno</x:v>
      </x:c>
      <x:c r="G165" t="n">
        <x:v>7</x:v>
      </x:c>
      <x:c r="H165" s="12" t="n">
        <x:v>278.88</x:v>
      </x:c>
      <x:c r="I165" s="14" t="n">
        <x:v>0.05</x:v>
      </x:c>
      <x:c r="J165" s="12" t="n">
        <x:v>179.18</x:v>
      </x:c>
      <x:c r="K165" s="12" t="n">
        <x:f>G165*H165*(1-I165)</x:f>
        <x:v>1854.5519999999997</x:v>
      </x:c>
      <x:c r="L165" s="12" t="n">
        <x:f>K165-(G165*J165)</x:f>
        <x:v>600.2919999999997</x:v>
      </x:c>
      <x:c r="M165" s="16" t="n">
        <x:f>IFERROR(L165/K165,0)</x:f>
        <x:v>0.32368572032490855</x:v>
      </x:c>
    </x:row>
    <x:row r="166">
      <x:c r="A166" t="str">
        <x:v>ORD-00165</x:v>
      </x:c>
      <x:c r="B166" s="10" t="n">
        <x:v>46110</x:v>
      </x:c>
      <x:c r="C166" t="str">
        <x:v>North</x:v>
      </x:c>
      <x:c r="D166" t="str">
        <x:v>Home</x:v>
      </x:c>
      <x:c r="E166" t="str">
        <x:v>Air Purifier</x:v>
      </x:c>
      <x:c r="F166" t="str">
        <x:v>Ana</x:v>
      </x:c>
      <x:c r="G166" t="n">
        <x:v>4</x:v>
      </x:c>
      <x:c r="H166" s="12" t="n">
        <x:v>175.31</x:v>
      </x:c>
      <x:c r="I166" s="14" t="n">
        <x:v>0.2</x:v>
      </x:c>
      <x:c r="J166" s="12" t="n">
        <x:v>109.43</x:v>
      </x:c>
      <x:c r="K166" s="12" t="n">
        <x:f>G166*H166*(1-I166)</x:f>
        <x:v>560.9920000000001</x:v>
      </x:c>
      <x:c r="L166" s="12" t="n">
        <x:f>K166-(G166*J166)</x:f>
        <x:v>123.27200000000005</x:v>
      </x:c>
      <x:c r="M166" s="16" t="n">
        <x:f>IFERROR(L166/K166,0)</x:f>
        <x:v>0.21973931892076898</x:v>
      </x:c>
    </x:row>
    <x:row r="167">
      <x:c r="A167" t="str">
        <x:v>ORD-00166</x:v>
      </x:c>
      <x:c r="B167" s="10" t="n">
        <x:v>46152</x:v>
      </x:c>
      <x:c r="C167" t="str">
        <x:v>Midwest</x:v>
      </x:c>
      <x:c r="D167" t="str">
        <x:v>Technology</x:v>
      </x:c>
      <x:c r="E167" t="str">
        <x:v>Monitor 27</x:v>
      </x:c>
      <x:c r="F167" t="str">
        <x:v>Bruno</x:v>
      </x:c>
      <x:c r="G167" t="n">
        <x:v>6</x:v>
      </x:c>
      <x:c r="H167" s="12" t="n">
        <x:v>294.53</x:v>
      </x:c>
      <x:c r="I167" s="14" t="n">
        <x:v>0.15</x:v>
      </x:c>
      <x:c r="J167" s="12" t="n">
        <x:v>181.78</x:v>
      </x:c>
      <x:c r="K167" s="12" t="n">
        <x:f>G167*H167*(1-I167)</x:f>
        <x:v>1502.1029999999998</x:v>
      </x:c>
      <x:c r="L167" s="12" t="n">
        <x:f>K167-(G167*J167)</x:f>
        <x:v>411.4229999999998</x:v>
      </x:c>
      <x:c r="M167" s="16" t="n">
        <x:f>IFERROR(L167/K167,0)</x:f>
        <x:v>0.2738979950109945</x:v>
      </x:c>
    </x:row>
    <x:row r="168">
      <x:c r="A168" t="str">
        <x:v>ORD-00167</x:v>
      </x:c>
      <x:c r="B168" s="10" t="n">
        <x:v>46064</x:v>
      </x:c>
      <x:c r="C168" t="str">
        <x:v>Southeast</x:v>
      </x:c>
      <x:c r="D168" t="str">
        <x:v>Office</x:v>
      </x:c>
      <x:c r="E168" t="str">
        <x:v>Desk Lamp</x:v>
      </x:c>
      <x:c r="F168" t="str">
        <x:v>Diego</x:v>
      </x:c>
      <x:c r="G168" t="n">
        <x:v>8</x:v>
      </x:c>
      <x:c r="H168" s="12" t="n">
        <x:v>54.6</x:v>
      </x:c>
      <x:c r="I168" s="14" t="n">
        <x:v>0</x:v>
      </x:c>
      <x:c r="J168" s="12" t="n">
        <x:v>24.38</x:v>
      </x:c>
      <x:c r="K168" s="12" t="n">
        <x:f>G168*H168*(1-I168)</x:f>
        <x:v>436.8</x:v>
      </x:c>
      <x:c r="L168" s="12" t="n">
        <x:f>K168-(G168*J168)</x:f>
        <x:v>241.76000000000002</x:v>
      </x:c>
      <x:c r="M168" s="16" t="n">
        <x:f>IFERROR(L168/K168,0)</x:f>
        <x:v>0.5534798534798535</x:v>
      </x:c>
    </x:row>
    <x:row r="169">
      <x:c r="A169" t="str">
        <x:v>ORD-00168</x:v>
      </x:c>
      <x:c r="B169" s="10" t="n">
        <x:v>46179</x:v>
      </x:c>
      <x:c r="C169" t="str">
        <x:v>Southeast</x:v>
      </x:c>
      <x:c r="D169" t="str">
        <x:v>Home</x:v>
      </x:c>
      <x:c r="E169" t="str">
        <x:v>Air Purifier</x:v>
      </x:c>
      <x:c r="F169" t="str">
        <x:v>Bruno</x:v>
      </x:c>
      <x:c r="G169" t="n">
        <x:v>4</x:v>
      </x:c>
      <x:c r="H169" s="12" t="n">
        <x:v>185.9</x:v>
      </x:c>
      <x:c r="I169" s="14" t="n">
        <x:v>0</x:v>
      </x:c>
      <x:c r="J169" s="12" t="n">
        <x:v>110.38</x:v>
      </x:c>
      <x:c r="K169" s="12" t="n">
        <x:f>G169*H169*(1-I169)</x:f>
        <x:v>743.6</x:v>
      </x:c>
      <x:c r="L169" s="12" t="n">
        <x:f>K169-(G169*J169)</x:f>
        <x:v>302.08000000000004</x:v>
      </x:c>
      <x:c r="M169" s="16" t="n">
        <x:f>IFERROR(L169/K169,0)</x:f>
        <x:v>0.40623991393222164</x:v>
      </x:c>
    </x:row>
    <x:row r="170">
      <x:c r="A170" t="str">
        <x:v>ORD-00169</x:v>
      </x:c>
      <x:c r="B170" s="10" t="n">
        <x:v>46117</x:v>
      </x:c>
      <x:c r="C170" t="str">
        <x:v>Northeast</x:v>
      </x:c>
      <x:c r="D170" t="str">
        <x:v>Home</x:v>
      </x:c>
      <x:c r="E170" t="str">
        <x:v>Coffee Maker</x:v>
      </x:c>
      <x:c r="F170" t="str">
        <x:v>Bruno</x:v>
      </x:c>
      <x:c r="G170" t="n">
        <x:v>5</x:v>
      </x:c>
      <x:c r="H170" s="12" t="n">
        <x:v>125.66</x:v>
      </x:c>
      <x:c r="I170" s="14" t="n">
        <x:v>0.1</x:v>
      </x:c>
      <x:c r="J170" s="12" t="n">
        <x:v>72.07</x:v>
      </x:c>
      <x:c r="K170" s="12" t="n">
        <x:f>G170*H170*(1-I170)</x:f>
        <x:v>565.47</x:v>
      </x:c>
      <x:c r="L170" s="12" t="n">
        <x:f>K170-(G170*J170)</x:f>
        <x:v>205.12000000000006</x:v>
      </x:c>
      <x:c r="M170" s="16" t="n">
        <x:f>IFERROR(L170/K170,0)</x:f>
        <x:v>0.36274249739155046</x:v>
      </x:c>
    </x:row>
    <x:row r="171">
      <x:c r="A171" t="str">
        <x:v>ORD-00170</x:v>
      </x:c>
      <x:c r="B171" s="10" t="n">
        <x:v>46232</x:v>
      </x:c>
      <x:c r="C171" t="str">
        <x:v>Southeast</x:v>
      </x:c>
      <x:c r="D171" t="str">
        <x:v>Office</x:v>
      </x:c>
      <x:c r="E171" t="str">
        <x:v>Standing Desk</x:v>
      </x:c>
      <x:c r="F171" t="str">
        <x:v>Ana</x:v>
      </x:c>
      <x:c r="G171" t="n">
        <x:v>1</x:v>
      </x:c>
      <x:c r="H171" s="12" t="n">
        <x:v>436.24</x:v>
      </x:c>
      <x:c r="I171" s="14" t="n">
        <x:v>0.1</x:v>
      </x:c>
      <x:c r="J171" s="12" t="n">
        <x:v>272.09</x:v>
      </x:c>
      <x:c r="K171" s="12" t="n">
        <x:f>G171*H171*(1-I171)</x:f>
        <x:v>392.61600000000004</x:v>
      </x:c>
      <x:c r="L171" s="12" t="n">
        <x:f>K171-(G171*J171)</x:f>
        <x:v>120.52600000000007</x:v>
      </x:c>
      <x:c r="M171" s="16" t="n">
        <x:f>IFERROR(L171/K171,0)</x:f>
        <x:v>0.3069818856083299</x:v>
      </x:c>
    </x:row>
    <x:row r="172">
      <x:c r="A172" t="str">
        <x:v>ORD-00171</x:v>
      </x:c>
      <x:c r="B172" s="10" t="n">
        <x:v>46205</x:v>
      </x:c>
      <x:c r="C172" t="str">
        <x:v>Midwest</x:v>
      </x:c>
      <x:c r="D172" t="str">
        <x:v>Technology</x:v>
      </x:c>
      <x:c r="E172" t="str">
        <x:v>Wireless Mouse</x:v>
      </x:c>
      <x:c r="F172" t="str">
        <x:v>Bruno</x:v>
      </x:c>
      <x:c r="G172" t="n">
        <x:v>2</x:v>
      </x:c>
      <x:c r="H172" s="12" t="n">
        <x:v>34.46</x:v>
      </x:c>
      <x:c r="I172" s="14" t="n">
        <x:v>0.1</x:v>
      </x:c>
      <x:c r="J172" s="12" t="n">
        <x:v>16.4</x:v>
      </x:c>
      <x:c r="K172" s="12" t="n">
        <x:f>G172*H172*(1-I172)</x:f>
        <x:v>62.028000000000006</x:v>
      </x:c>
      <x:c r="L172" s="12" t="n">
        <x:f>K172-(G172*J172)</x:f>
        <x:v>29.22800000000001</x:v>
      </x:c>
      <x:c r="M172" s="16" t="n">
        <x:f>IFERROR(L172/K172,0)</x:f>
        <x:v>0.4712065518797963</x:v>
      </x:c>
    </x:row>
    <x:row r="173">
      <x:c r="A173" t="str">
        <x:v>ORD-00172</x:v>
      </x:c>
      <x:c r="B173" s="10" t="n">
        <x:v>46235</x:v>
      </x:c>
      <x:c r="C173" t="str">
        <x:v>South</x:v>
      </x:c>
      <x:c r="D173" t="str">
        <x:v>Office</x:v>
      </x:c>
      <x:c r="E173" t="str">
        <x:v>Standing Desk</x:v>
      </x:c>
      <x:c r="F173" t="str">
        <x:v>Carla</x:v>
      </x:c>
      <x:c r="G173" t="n">
        <x:v>6</x:v>
      </x:c>
      <x:c r="H173" s="12" t="n">
        <x:v>418.88</x:v>
      </x:c>
      <x:c r="I173" s="14" t="n">
        <x:v>0.2</x:v>
      </x:c>
      <x:c r="J173" s="12" t="n">
        <x:v>269.95</x:v>
      </x:c>
      <x:c r="K173" s="12" t="n">
        <x:f>G173*H173*(1-I173)</x:f>
        <x:v>2010.6239999999998</x:v>
      </x:c>
      <x:c r="L173" s="12" t="n">
        <x:f>K173-(G173*J173)</x:f>
        <x:v>390.924</x:v>
      </x:c>
      <x:c r="M173" s="16" t="n">
        <x:f>IFERROR(L173/K173,0)</x:f>
        <x:v>0.19442919213139803</x:v>
      </x:c>
    </x:row>
    <x:row r="174">
      <x:c r="A174" t="str">
        <x:v>ORD-00173</x:v>
      </x:c>
      <x:c r="B174" s="10" t="n">
        <x:v>46083</x:v>
      </x:c>
      <x:c r="C174" t="str">
        <x:v>South</x:v>
      </x:c>
      <x:c r="D174" t="str">
        <x:v>Technology</x:v>
      </x:c>
      <x:c r="E174" t="str">
        <x:v>Wireless Mouse</x:v>
      </x:c>
      <x:c r="F174" t="str">
        <x:v>Felipe</x:v>
      </x:c>
      <x:c r="G174" t="n">
        <x:v>4</x:v>
      </x:c>
      <x:c r="H174" s="12" t="n">
        <x:v>36.53</x:v>
      </x:c>
      <x:c r="I174" s="14" t="n">
        <x:v>0</x:v>
      </x:c>
      <x:c r="J174" s="12" t="n">
        <x:v>16.35</x:v>
      </x:c>
      <x:c r="K174" s="12" t="n">
        <x:f>G174*H174*(1-I174)</x:f>
        <x:v>146.12</x:v>
      </x:c>
      <x:c r="L174" s="12" t="n">
        <x:f>K174-(G174*J174)</x:f>
        <x:v>80.72</x:v>
      </x:c>
      <x:c r="M174" s="16" t="n">
        <x:f>IFERROR(L174/K174,0)</x:f>
        <x:v>0.5524226663016698</x:v>
      </x:c>
    </x:row>
    <x:row r="175">
      <x:c r="A175" t="str">
        <x:v>ORD-00174</x:v>
      </x:c>
      <x:c r="B175" s="10" t="n">
        <x:v>46108</x:v>
      </x:c>
      <x:c r="C175" t="str">
        <x:v>Midwest</x:v>
      </x:c>
      <x:c r="D175" t="str">
        <x:v>Office</x:v>
      </x:c>
      <x:c r="E175" t="str">
        <x:v>Office Chair</x:v>
      </x:c>
      <x:c r="F175" t="str">
        <x:v>Felipe</x:v>
      </x:c>
      <x:c r="G175" t="n">
        <x:v>5</x:v>
      </x:c>
      <x:c r="H175" s="12" t="n">
        <x:v>220.55</x:v>
      </x:c>
      <x:c r="I175" s="14" t="n">
        <x:v>0.15</x:v>
      </x:c>
      <x:c r="J175" s="12" t="n">
        <x:v>132.8</x:v>
      </x:c>
      <x:c r="K175" s="12" t="n">
        <x:f>G175*H175*(1-I175)</x:f>
        <x:v>937.3375</x:v>
      </x:c>
      <x:c r="L175" s="12" t="n">
        <x:f>K175-(G175*J175)</x:f>
        <x:v>273.3375</x:v>
      </x:c>
      <x:c r="M175" s="16" t="n">
        <x:f>IFERROR(L175/K175,0)</x:f>
        <x:v>0.2916105458279435</x:v>
      </x:c>
    </x:row>
    <x:row r="176">
      <x:c r="A176" t="str">
        <x:v>ORD-00175</x:v>
      </x:c>
      <x:c r="B176" s="10" t="n">
        <x:v>46143</x:v>
      </x:c>
      <x:c r="C176" t="str">
        <x:v>South</x:v>
      </x:c>
      <x:c r="D176" t="str">
        <x:v>Technology</x:v>
      </x:c>
      <x:c r="E176" t="str">
        <x:v>Laptop Pro</x:v>
      </x:c>
      <x:c r="F176" t="str">
        <x:v>Felipe</x:v>
      </x:c>
      <x:c r="G176" t="n">
        <x:v>1</x:v>
      </x:c>
      <x:c r="H176" s="12" t="n">
        <x:v>1242.18</x:v>
      </x:c>
      <x:c r="I176" s="14" t="n">
        <x:v>0</x:v>
      </x:c>
      <x:c r="J176" s="12" t="n">
        <x:v>856.32</x:v>
      </x:c>
      <x:c r="K176" s="12" t="n">
        <x:f>G176*H176*(1-I176)</x:f>
        <x:v>1242.18</x:v>
      </x:c>
      <x:c r="L176" s="12" t="n">
        <x:f>K176-(G176*J176)</x:f>
        <x:v>385.86</x:v>
      </x:c>
      <x:c r="M176" s="16" t="n">
        <x:f>IFERROR(L176/K176,0)</x:f>
        <x:v>0.3106313094720572</x:v>
      </x:c>
    </x:row>
    <x:row r="177">
      <x:c r="A177" t="str">
        <x:v>ORD-00176</x:v>
      </x:c>
      <x:c r="B177" s="10" t="n">
        <x:v>46178</x:v>
      </x:c>
      <x:c r="C177" t="str">
        <x:v>South</x:v>
      </x:c>
      <x:c r="D177" t="str">
        <x:v>Technology</x:v>
      </x:c>
      <x:c r="E177" t="str">
        <x:v>Wireless Mouse</x:v>
      </x:c>
      <x:c r="F177" t="str">
        <x:v>Elisa</x:v>
      </x:c>
      <x:c r="G177" t="n">
        <x:v>4</x:v>
      </x:c>
      <x:c r="H177" s="12" t="n">
        <x:v>33.75</x:v>
      </x:c>
      <x:c r="I177" s="14" t="n">
        <x:v>0</x:v>
      </x:c>
      <x:c r="J177" s="12" t="n">
        <x:v>16.02</x:v>
      </x:c>
      <x:c r="K177" s="12" t="n">
        <x:f>G177*H177*(1-I177)</x:f>
        <x:v>135</x:v>
      </x:c>
      <x:c r="L177" s="12" t="n">
        <x:f>K177-(G177*J177)</x:f>
        <x:v>70.92</x:v>
      </x:c>
      <x:c r="M177" s="16" t="n">
        <x:f>IFERROR(L177/K177,0)</x:f>
        <x:v>0.5253333333333333</x:v>
      </x:c>
    </x:row>
    <x:row r="178">
      <x:c r="A178" t="str">
        <x:v>ORD-00177</x:v>
      </x:c>
      <x:c r="B178" s="10" t="n">
        <x:v>46140</x:v>
      </x:c>
      <x:c r="C178" t="str">
        <x:v>Southeast</x:v>
      </x:c>
      <x:c r="D178" t="str">
        <x:v>Home</x:v>
      </x:c>
      <x:c r="E178" t="str">
        <x:v>Smart Lamp</x:v>
      </x:c>
      <x:c r="F178" t="str">
        <x:v>Carla</x:v>
      </x:c>
      <x:c r="G178" t="n">
        <x:v>1</x:v>
      </x:c>
      <x:c r="H178" s="12" t="n">
        <x:v>65.76</x:v>
      </x:c>
      <x:c r="I178" s="14" t="n">
        <x:v>0.1</x:v>
      </x:c>
      <x:c r="J178" s="12" t="n">
        <x:v>29.46</x:v>
      </x:c>
      <x:c r="K178" s="12" t="n">
        <x:f>G178*H178*(1-I178)</x:f>
        <x:v>59.184000000000005</x:v>
      </x:c>
      <x:c r="L178" s="12" t="n">
        <x:f>K178-(G178*J178)</x:f>
        <x:v>29.724000000000004</x:v>
      </x:c>
      <x:c r="M178" s="16" t="n">
        <x:f>IFERROR(L178/K178,0)</x:f>
        <x:v>0.5022303325223033</x:v>
      </x:c>
    </x:row>
    <x:row r="179">
      <x:c r="A179" t="str">
        <x:v>ORD-00178</x:v>
      </x:c>
      <x:c r="B179" s="10" t="n">
        <x:v>46132</x:v>
      </x:c>
      <x:c r="C179" t="str">
        <x:v>Southeast</x:v>
      </x:c>
      <x:c r="D179" t="str">
        <x:v>Accessories</x:v>
      </x:c>
      <x:c r="E179" t="str">
        <x:v>USB-C Hub</x:v>
      </x:c>
      <x:c r="F179" t="str">
        <x:v>Carla</x:v>
      </x:c>
      <x:c r="G179" t="n">
        <x:v>7</x:v>
      </x:c>
      <x:c r="H179" s="12" t="n">
        <x:v>71.41</x:v>
      </x:c>
      <x:c r="I179" s="14" t="n">
        <x:v>0</x:v>
      </x:c>
      <x:c r="J179" s="12" t="n">
        <x:v>32.2</x:v>
      </x:c>
      <x:c r="K179" s="12" t="n">
        <x:f>G179*H179*(1-I179)</x:f>
        <x:v>499.87</x:v>
      </x:c>
      <x:c r="L179" s="12" t="n">
        <x:f>K179-(G179*J179)</x:f>
        <x:v>274.46999999999997</x:v>
      </x:c>
      <x:c r="M179" s="16" t="n">
        <x:f>IFERROR(L179/K179,0)</x:f>
        <x:v>0.5490827615179946</x:v>
      </x:c>
    </x:row>
    <x:row r="180">
      <x:c r="A180" t="str">
        <x:v>ORD-00179</x:v>
      </x:c>
      <x:c r="B180" s="10" t="n">
        <x:v>46040</x:v>
      </x:c>
      <x:c r="C180" t="str">
        <x:v>North</x:v>
      </x:c>
      <x:c r="D180" t="str">
        <x:v>Technology</x:v>
      </x:c>
      <x:c r="E180" t="str">
        <x:v>Wireless Mouse</x:v>
      </x:c>
      <x:c r="F180" t="str">
        <x:v>Felipe</x:v>
      </x:c>
      <x:c r="G180" t="n">
        <x:v>8</x:v>
      </x:c>
      <x:c r="H180" s="12" t="n">
        <x:v>34.82</x:v>
      </x:c>
      <x:c r="I180" s="14" t="n">
        <x:v>0</x:v>
      </x:c>
      <x:c r="J180" s="12" t="n">
        <x:v>15.98</x:v>
      </x:c>
      <x:c r="K180" s="12" t="n">
        <x:f>G180*H180*(1-I180)</x:f>
        <x:v>278.56</x:v>
      </x:c>
      <x:c r="L180" s="12" t="n">
        <x:f>K180-(G180*J180)</x:f>
        <x:v>150.72</x:v>
      </x:c>
      <x:c r="M180" s="16" t="n">
        <x:f>IFERROR(L180/K180,0)</x:f>
        <x:v>0.5410683515221137</x:v>
      </x:c>
    </x:row>
    <x:row r="181">
      <x:c r="A181" t="str">
        <x:v>ORD-00180</x:v>
      </x:c>
      <x:c r="B181" s="10" t="n">
        <x:v>46027</x:v>
      </x:c>
      <x:c r="C181" t="str">
        <x:v>Southeast</x:v>
      </x:c>
      <x:c r="D181" t="str">
        <x:v>Technology</x:v>
      </x:c>
      <x:c r="E181" t="str">
        <x:v>Wireless Mouse</x:v>
      </x:c>
      <x:c r="F181" t="str">
        <x:v>Felipe</x:v>
      </x:c>
      <x:c r="G181" t="n">
        <x:v>4</x:v>
      </x:c>
      <x:c r="H181" s="12" t="n">
        <x:v>35.58</x:v>
      </x:c>
      <x:c r="I181" s="14" t="n">
        <x:v>0.1</x:v>
      </x:c>
      <x:c r="J181" s="12" t="n">
        <x:v>16.3</x:v>
      </x:c>
      <x:c r="K181" s="12" t="n">
        <x:f>G181*H181*(1-I181)</x:f>
        <x:v>128.088</x:v>
      </x:c>
      <x:c r="L181" s="12" t="n">
        <x:f>K181-(G181*J181)</x:f>
        <x:v>62.88799999999999</x:v>
      </x:c>
      <x:c r="M181" s="16" t="n">
        <x:f>IFERROR(L181/K181,0)</x:f>
        <x:v>0.4909749547186309</x:v>
      </x:c>
    </x:row>
    <x:row r="182">
      <x:c r="A182" t="str">
        <x:v>ORD-00181</x:v>
      </x:c>
      <x:c r="B182" s="10" t="n">
        <x:v>46216</x:v>
      </x:c>
      <x:c r="C182" t="str">
        <x:v>Southeast</x:v>
      </x:c>
      <x:c r="D182" t="str">
        <x:v>Technology</x:v>
      </x:c>
      <x:c r="E182" t="str">
        <x:v>Wireless Mouse</x:v>
      </x:c>
      <x:c r="F182" t="str">
        <x:v>Diego</x:v>
      </x:c>
      <x:c r="G182" t="n">
        <x:v>6</x:v>
      </x:c>
      <x:c r="H182" s="12" t="n">
        <x:v>34.15</x:v>
      </x:c>
      <x:c r="I182" s="14" t="n">
        <x:v>0.15</x:v>
      </x:c>
      <x:c r="J182" s="12" t="n">
        <x:v>16.3</x:v>
      </x:c>
      <x:c r="K182" s="12" t="n">
        <x:f>G182*H182*(1-I182)</x:f>
        <x:v>174.16499999999996</x:v>
      </x:c>
      <x:c r="L182" s="12" t="n">
        <x:f>K182-(G182*J182)</x:f>
        <x:v>76.36499999999995</x:v>
      </x:c>
      <x:c r="M182" s="16" t="n">
        <x:f>IFERROR(L182/K182,0)</x:f>
        <x:v>0.4384635259667555</x:v>
      </x:c>
    </x:row>
    <x:row r="183">
      <x:c r="A183" t="str">
        <x:v>ORD-00182</x:v>
      </x:c>
      <x:c r="B183" s="10" t="n">
        <x:v>46201</x:v>
      </x:c>
      <x:c r="C183" t="str">
        <x:v>South</x:v>
      </x:c>
      <x:c r="D183" t="str">
        <x:v>Office</x:v>
      </x:c>
      <x:c r="E183" t="str">
        <x:v>Office Chair</x:v>
      </x:c>
      <x:c r="F183" t="str">
        <x:v>Bruno</x:v>
      </x:c>
      <x:c r="G183" t="n">
        <x:v>2</x:v>
      </x:c>
      <x:c r="H183" s="12" t="n">
        <x:v>229.88</x:v>
      </x:c>
      <x:c r="I183" s="14" t="n">
        <x:v>0.1</x:v>
      </x:c>
      <x:c r="J183" s="12" t="n">
        <x:v>127.64</x:v>
      </x:c>
      <x:c r="K183" s="12" t="n">
        <x:f>G183*H183*(1-I183)</x:f>
        <x:v>413.784</x:v>
      </x:c>
      <x:c r="L183" s="12" t="n">
        <x:f>K183-(G183*J183)</x:f>
        <x:v>158.504</x:v>
      </x:c>
      <x:c r="M183" s="16" t="n">
        <x:f>IFERROR(L183/K183,0)</x:f>
        <x:v>0.38305976064806757</x:v>
      </x:c>
    </x:row>
    <x:row r="184">
      <x:c r="A184" t="str">
        <x:v>ORD-00183</x:v>
      </x:c>
      <x:c r="B184" s="10" t="n">
        <x:v>46034</x:v>
      </x:c>
      <x:c r="C184" t="str">
        <x:v>Midwest</x:v>
      </x:c>
      <x:c r="D184" t="str">
        <x:v>Technology</x:v>
      </x:c>
      <x:c r="E184" t="str">
        <x:v>Wireless Mouse</x:v>
      </x:c>
      <x:c r="F184" t="str">
        <x:v>Carla</x:v>
      </x:c>
      <x:c r="G184" t="n">
        <x:v>5</x:v>
      </x:c>
      <x:c r="H184" s="12" t="n">
        <x:v>36.72</x:v>
      </x:c>
      <x:c r="I184" s="14" t="n">
        <x:v>0.05</x:v>
      </x:c>
      <x:c r="J184" s="12" t="n">
        <x:v>16.11</x:v>
      </x:c>
      <x:c r="K184" s="12" t="n">
        <x:f>G184*H184*(1-I184)</x:f>
        <x:v>174.42</x:v>
      </x:c>
      <x:c r="L184" s="12" t="n">
        <x:f>K184-(G184*J184)</x:f>
        <x:v>93.86999999999999</x:v>
      </x:c>
      <x:c r="M184" s="16" t="n">
        <x:f>IFERROR(L184/K184,0)</x:f>
        <x:v>0.5381836945304438</x:v>
      </x:c>
    </x:row>
    <x:row r="185">
      <x:c r="A185" t="str">
        <x:v>ORD-00184</x:v>
      </x:c>
      <x:c r="B185" s="10" t="n">
        <x:v>46032</x:v>
      </x:c>
      <x:c r="C185" t="str">
        <x:v>Midwest</x:v>
      </x:c>
      <x:c r="D185" t="str">
        <x:v>Office</x:v>
      </x:c>
      <x:c r="E185" t="str">
        <x:v>Standing Desk</x:v>
      </x:c>
      <x:c r="F185" t="str">
        <x:v>Carla</x:v>
      </x:c>
      <x:c r="G185" t="n">
        <x:v>6</x:v>
      </x:c>
      <x:c r="H185" s="12" t="n">
        <x:v>405.01</x:v>
      </x:c>
      <x:c r="I185" s="14" t="n">
        <x:v>0.15</x:v>
      </x:c>
      <x:c r="J185" s="12" t="n">
        <x:v>273.45</x:v>
      </x:c>
      <x:c r="K185" s="12" t="n">
        <x:f>G185*H185*(1-I185)</x:f>
        <x:v>2065.551</x:v>
      </x:c>
      <x:c r="L185" s="12" t="n">
        <x:f>K185-(G185*J185)</x:f>
        <x:v>424.8510000000001</x:v>
      </x:c>
      <x:c r="M185" s="16" t="n">
        <x:f>IFERROR(L185/K185,0)</x:f>
        <x:v>0.2056841007556822</x:v>
      </x:c>
    </x:row>
    <x:row r="186">
      <x:c r="A186" t="str">
        <x:v>ORD-00185</x:v>
      </x:c>
      <x:c r="B186" s="10" t="n">
        <x:v>46054</x:v>
      </x:c>
      <x:c r="C186" t="str">
        <x:v>Midwest</x:v>
      </x:c>
      <x:c r="D186" t="str">
        <x:v>Home</x:v>
      </x:c>
      <x:c r="E186" t="str">
        <x:v>Coffee Maker</x:v>
      </x:c>
      <x:c r="F186" t="str">
        <x:v>Diego</x:v>
      </x:c>
      <x:c r="G186" t="n">
        <x:v>8</x:v>
      </x:c>
      <x:c r="H186" s="12" t="n">
        <x:v>124.35</x:v>
      </x:c>
      <x:c r="I186" s="14" t="n">
        <x:v>0.15</x:v>
      </x:c>
      <x:c r="J186" s="12" t="n">
        <x:v>74.07</x:v>
      </x:c>
      <x:c r="K186" s="12" t="n">
        <x:f>G186*H186*(1-I186)</x:f>
        <x:v>845.5799999999999</x:v>
      </x:c>
      <x:c r="L186" s="12" t="n">
        <x:f>K186-(G186*J186)</x:f>
        <x:v>253.01999999999998</x:v>
      </x:c>
      <x:c r="M186" s="16" t="n">
        <x:f>IFERROR(L186/K186,0)</x:f>
        <x:v>0.29922656638047257</x:v>
      </x:c>
    </x:row>
    <x:row r="187">
      <x:c r="A187" t="str">
        <x:v>ORD-00186</x:v>
      </x:c>
      <x:c r="B187" s="10" t="n">
        <x:v>46200</x:v>
      </x:c>
      <x:c r="C187" t="str">
        <x:v>South</x:v>
      </x:c>
      <x:c r="D187" t="str">
        <x:v>Accessories</x:v>
      </x:c>
      <x:c r="E187" t="str">
        <x:v>USB-C Hub</x:v>
      </x:c>
      <x:c r="F187" t="str">
        <x:v>Elisa</x:v>
      </x:c>
      <x:c r="G187" t="n">
        <x:v>7</x:v>
      </x:c>
      <x:c r="H187" s="12" t="n">
        <x:v>71</x:v>
      </x:c>
      <x:c r="I187" s="14" t="n">
        <x:v>0</x:v>
      </x:c>
      <x:c r="J187" s="12" t="n">
        <x:v>32.68</x:v>
      </x:c>
      <x:c r="K187" s="12" t="n">
        <x:f>G187*H187*(1-I187)</x:f>
        <x:v>497</x:v>
      </x:c>
      <x:c r="L187" s="12" t="n">
        <x:f>K187-(G187*J187)</x:f>
        <x:v>268.24</x:v>
      </x:c>
      <x:c r="M187" s="16" t="n">
        <x:f>IFERROR(L187/K187,0)</x:f>
        <x:v>0.5397183098591549</x:v>
      </x:c>
    </x:row>
    <x:row r="188">
      <x:c r="A188" t="str">
        <x:v>ORD-00187</x:v>
      </x:c>
      <x:c r="B188" s="10" t="n">
        <x:v>46098</x:v>
      </x:c>
      <x:c r="C188" t="str">
        <x:v>Southeast</x:v>
      </x:c>
      <x:c r="D188" t="str">
        <x:v>Technology</x:v>
      </x:c>
      <x:c r="E188" t="str">
        <x:v>Wireless Mouse</x:v>
      </x:c>
      <x:c r="F188" t="str">
        <x:v>Felipe</x:v>
      </x:c>
      <x:c r="G188" t="n">
        <x:v>5</x:v>
      </x:c>
      <x:c r="H188" s="12" t="n">
        <x:v>35.5</x:v>
      </x:c>
      <x:c r="I188" s="14" t="n">
        <x:v>0</x:v>
      </x:c>
      <x:c r="J188" s="12" t="n">
        <x:v>16.02</x:v>
      </x:c>
      <x:c r="K188" s="12" t="n">
        <x:f>G188*H188*(1-I188)</x:f>
        <x:v>177.5</x:v>
      </x:c>
      <x:c r="L188" s="12" t="n">
        <x:f>K188-(G188*J188)</x:f>
        <x:v>97.4</x:v>
      </x:c>
      <x:c r="M188" s="16" t="n">
        <x:f>IFERROR(L188/K188,0)</x:f>
        <x:v>0.5487323943661973</x:v>
      </x:c>
    </x:row>
    <x:row r="189">
      <x:c r="A189" t="str">
        <x:v>ORD-00188</x:v>
      </x:c>
      <x:c r="B189" s="10" t="n">
        <x:v>46136</x:v>
      </x:c>
      <x:c r="C189" t="str">
        <x:v>Southeast</x:v>
      </x:c>
      <x:c r="D189" t="str">
        <x:v>Technology</x:v>
      </x:c>
      <x:c r="E189" t="str">
        <x:v>Monitor 27</x:v>
      </x:c>
      <x:c r="F189" t="str">
        <x:v>Ana</x:v>
      </x:c>
      <x:c r="G189" t="n">
        <x:v>6</x:v>
      </x:c>
      <x:c r="H189" s="12" t="n">
        <x:v>289.75</x:v>
      </x:c>
      <x:c r="I189" s="14" t="n">
        <x:v>0.1</x:v>
      </x:c>
      <x:c r="J189" s="12" t="n">
        <x:v>182.16</x:v>
      </x:c>
      <x:c r="K189" s="12" t="n">
        <x:f>G189*H189*(1-I189)</x:f>
        <x:v>1564.65</x:v>
      </x:c>
      <x:c r="L189" s="12" t="n">
        <x:f>K189-(G189*J189)</x:f>
        <x:v>471.69000000000005</x:v>
      </x:c>
      <x:c r="M189" s="16" t="n">
        <x:f>IFERROR(L189/K189,0)</x:f>
        <x:v>0.3014667817083693</x:v>
      </x:c>
    </x:row>
    <x:row r="190">
      <x:c r="A190" t="str">
        <x:v>ORD-00189</x:v>
      </x:c>
      <x:c r="B190" s="10" t="n">
        <x:v>46042</x:v>
      </x:c>
      <x:c r="C190" t="str">
        <x:v>Northeast</x:v>
      </x:c>
      <x:c r="D190" t="str">
        <x:v>Home</x:v>
      </x:c>
      <x:c r="E190" t="str">
        <x:v>Coffee Maker</x:v>
      </x:c>
      <x:c r="F190" t="str">
        <x:v>Diego</x:v>
      </x:c>
      <x:c r="G190" t="n">
        <x:v>3</x:v>
      </x:c>
      <x:c r="H190" s="12" t="n">
        <x:v>121.61</x:v>
      </x:c>
      <x:c r="I190" s="14" t="n">
        <x:v>0.2</x:v>
      </x:c>
      <x:c r="J190" s="12" t="n">
        <x:v>72.75</x:v>
      </x:c>
      <x:c r="K190" s="12" t="n">
        <x:f>G190*H190*(1-I190)</x:f>
        <x:v>291.864</x:v>
      </x:c>
      <x:c r="L190" s="12" t="n">
        <x:f>K190-(G190*J190)</x:f>
        <x:v>73.61399999999998</x:v>
      </x:c>
      <x:c r="M190" s="16" t="n">
        <x:f>IFERROR(L190/K190,0)</x:f>
        <x:v>0.25222021215360574</x:v>
      </x:c>
    </x:row>
    <x:row r="191">
      <x:c r="A191" t="str">
        <x:v>ORD-00190</x:v>
      </x:c>
      <x:c r="B191" s="10" t="n">
        <x:v>46031</x:v>
      </x:c>
      <x:c r="C191" t="str">
        <x:v>Southeast</x:v>
      </x:c>
      <x:c r="D191" t="str">
        <x:v>Office</x:v>
      </x:c>
      <x:c r="E191" t="str">
        <x:v>Desk Lamp</x:v>
      </x:c>
      <x:c r="F191" t="str">
        <x:v>Bruno</x:v>
      </x:c>
      <x:c r="G191" t="n">
        <x:v>6</x:v>
      </x:c>
      <x:c r="H191" s="12" t="n">
        <x:v>57.5</x:v>
      </x:c>
      <x:c r="I191" s="14" t="n">
        <x:v>0.05</x:v>
      </x:c>
      <x:c r="J191" s="12" t="n">
        <x:v>23.56</x:v>
      </x:c>
      <x:c r="K191" s="12" t="n">
        <x:f>G191*H191*(1-I191)</x:f>
        <x:v>327.75</x:v>
      </x:c>
      <x:c r="L191" s="12" t="n">
        <x:f>K191-(G191*J191)</x:f>
        <x:v>186.39000000000001</x:v>
      </x:c>
      <x:c r="M191" s="16" t="n">
        <x:f>IFERROR(L191/K191,0)</x:f>
        <x:v>0.568695652173913</x:v>
      </x:c>
    </x:row>
    <x:row r="192">
      <x:c r="A192" t="str">
        <x:v>ORD-00191</x:v>
      </x:c>
      <x:c r="B192" s="10" t="n">
        <x:v>46196</x:v>
      </x:c>
      <x:c r="C192" t="str">
        <x:v>South</x:v>
      </x:c>
      <x:c r="D192" t="str">
        <x:v>Accessories</x:v>
      </x:c>
      <x:c r="E192" t="str">
        <x:v>Backpack</x:v>
      </x:c>
      <x:c r="F192" t="str">
        <x:v>Diego</x:v>
      </x:c>
      <x:c r="G192" t="n">
        <x:v>8</x:v>
      </x:c>
      <x:c r="H192" s="12" t="n">
        <x:v>85.99</x:v>
      </x:c>
      <x:c r="I192" s="14" t="n">
        <x:v>0.1</x:v>
      </x:c>
      <x:c r="J192" s="12" t="n">
        <x:v>42.27</x:v>
      </x:c>
      <x:c r="K192" s="12" t="n">
        <x:f>G192*H192*(1-I192)</x:f>
        <x:v>619.1279999999999</x:v>
      </x:c>
      <x:c r="L192" s="12" t="n">
        <x:f>K192-(G192*J192)</x:f>
        <x:v>280.9679999999999</x:v>
      </x:c>
      <x:c r="M192" s="16" t="n">
        <x:f>IFERROR(L192/K192,0)</x:f>
        <x:v>0.45381245881304016</x:v>
      </x:c>
    </x:row>
    <x:row r="193">
      <x:c r="A193" t="str">
        <x:v>ORD-00192</x:v>
      </x:c>
      <x:c r="B193" s="10" t="n">
        <x:v>46103</x:v>
      </x:c>
      <x:c r="C193" t="str">
        <x:v>Northeast</x:v>
      </x:c>
      <x:c r="D193" t="str">
        <x:v>Office</x:v>
      </x:c>
      <x:c r="E193" t="str">
        <x:v>Office Chair</x:v>
      </x:c>
      <x:c r="F193" t="str">
        <x:v>Elisa</x:v>
      </x:c>
      <x:c r="G193" t="n">
        <x:v>1</x:v>
      </x:c>
      <x:c r="H193" s="12" t="n">
        <x:v>221.08</x:v>
      </x:c>
      <x:c r="I193" s="14" t="n">
        <x:v>0.1</x:v>
      </x:c>
      <x:c r="J193" s="12" t="n">
        <x:v>129.92</x:v>
      </x:c>
      <x:c r="K193" s="12" t="n">
        <x:f>G193*H193*(1-I193)</x:f>
        <x:v>198.972</x:v>
      </x:c>
      <x:c r="L193" s="12" t="n">
        <x:f>K193-(G193*J193)</x:f>
        <x:v>69.05200000000002</x:v>
      </x:c>
      <x:c r="M193" s="16" t="n">
        <x:f>IFERROR(L193/K193,0)</x:f>
        <x:v>0.34704380515851485</x:v>
      </x:c>
    </x:row>
    <x:row r="194">
      <x:c r="A194" t="str">
        <x:v>ORD-00193</x:v>
      </x:c>
      <x:c r="B194" s="10" t="n">
        <x:v>46053</x:v>
      </x:c>
      <x:c r="C194" t="str">
        <x:v>Southeast</x:v>
      </x:c>
      <x:c r="D194" t="str">
        <x:v>Accessories</x:v>
      </x:c>
      <x:c r="E194" t="str">
        <x:v>Webcam HD</x:v>
      </x:c>
      <x:c r="F194" t="str">
        <x:v>Diego</x:v>
      </x:c>
      <x:c r="G194" t="n">
        <x:v>8</x:v>
      </x:c>
      <x:c r="H194" s="12" t="n">
        <x:v>96.43</x:v>
      </x:c>
      <x:c r="I194" s="14" t="n">
        <x:v>0</x:v>
      </x:c>
      <x:c r="J194" s="12" t="n">
        <x:v>48.71</x:v>
      </x:c>
      <x:c r="K194" s="12" t="n">
        <x:f>G194*H194*(1-I194)</x:f>
        <x:v>771.44</x:v>
      </x:c>
      <x:c r="L194" s="12" t="n">
        <x:f>K194-(G194*J194)</x:f>
        <x:v>381.76000000000005</x:v>
      </x:c>
      <x:c r="M194" s="16" t="n">
        <x:f>IFERROR(L194/K194,0)</x:f>
        <x:v>0.49486674271492276</x:v>
      </x:c>
    </x:row>
    <x:row r="195">
      <x:c r="A195" t="str">
        <x:v>ORD-00194</x:v>
      </x:c>
      <x:c r="B195" s="10" t="n">
        <x:v>46074</x:v>
      </x:c>
      <x:c r="C195" t="str">
        <x:v>Southeast</x:v>
      </x:c>
      <x:c r="D195" t="str">
        <x:v>Technology</x:v>
      </x:c>
      <x:c r="E195" t="str">
        <x:v>Wireless Mouse</x:v>
      </x:c>
      <x:c r="F195" t="str">
        <x:v>Felipe</x:v>
      </x:c>
      <x:c r="G195" t="n">
        <x:v>3</x:v>
      </x:c>
      <x:c r="H195" s="12" t="n">
        <x:v>35</x:v>
      </x:c>
      <x:c r="I195" s="14" t="n">
        <x:v>0.15</x:v>
      </x:c>
      <x:c r="J195" s="12" t="n">
        <x:v>15.75</x:v>
      </x:c>
      <x:c r="K195" s="12" t="n">
        <x:f>G195*H195*(1-I195)</x:f>
        <x:v>89.25</x:v>
      </x:c>
      <x:c r="L195" s="12" t="n">
        <x:f>K195-(G195*J195)</x:f>
        <x:v>42</x:v>
      </x:c>
      <x:c r="M195" s="16" t="n">
        <x:f>IFERROR(L195/K195,0)</x:f>
        <x:v>0.47058823529411764</x:v>
      </x:c>
    </x:row>
    <x:row r="196">
      <x:c r="A196" t="str">
        <x:v>ORD-00195</x:v>
      </x:c>
      <x:c r="B196" s="10" t="n">
        <x:v>46239</x:v>
      </x:c>
      <x:c r="C196" t="str">
        <x:v>North</x:v>
      </x:c>
      <x:c r="D196" t="str">
        <x:v>Accessories</x:v>
      </x:c>
      <x:c r="E196" t="str">
        <x:v>Webcam HD</x:v>
      </x:c>
      <x:c r="F196" t="str">
        <x:v>Bruno</x:v>
      </x:c>
      <x:c r="G196" t="n">
        <x:v>2</x:v>
      </x:c>
      <x:c r="H196" s="12" t="n">
        <x:v>93.68</x:v>
      </x:c>
      <x:c r="I196" s="14" t="n">
        <x:v>0.05</x:v>
      </x:c>
      <x:c r="J196" s="12" t="n">
        <x:v>47.76</x:v>
      </x:c>
      <x:c r="K196" s="12" t="n">
        <x:f>G196*H196*(1-I196)</x:f>
        <x:v>177.99200000000002</x:v>
      </x:c>
      <x:c r="L196" s="12" t="n">
        <x:f>K196-(G196*J196)</x:f>
        <x:v>82.47200000000002</x:v>
      </x:c>
      <x:c r="M196" s="16" t="n">
        <x:f>IFERROR(L196/K196,0)</x:f>
        <x:v>0.4633466672659446</x:v>
      </x:c>
    </x:row>
    <x:row r="197">
      <x:c r="A197" t="str">
        <x:v>ORD-00196</x:v>
      </x:c>
      <x:c r="B197" s="10" t="n">
        <x:v>46205</x:v>
      </x:c>
      <x:c r="C197" t="str">
        <x:v>Northeast</x:v>
      </x:c>
      <x:c r="D197" t="str">
        <x:v>Office</x:v>
      </x:c>
      <x:c r="E197" t="str">
        <x:v>Standing Desk</x:v>
      </x:c>
      <x:c r="F197" t="str">
        <x:v>Diego</x:v>
      </x:c>
      <x:c r="G197" t="n">
        <x:v>4</x:v>
      </x:c>
      <x:c r="H197" s="12" t="n">
        <x:v>410.8</x:v>
      </x:c>
      <x:c r="I197" s="14" t="n">
        <x:v>0</x:v>
      </x:c>
      <x:c r="J197" s="12" t="n">
        <x:v>266.47</x:v>
      </x:c>
      <x:c r="K197" s="12" t="n">
        <x:f>G197*H197*(1-I197)</x:f>
        <x:v>1643.2</x:v>
      </x:c>
      <x:c r="L197" s="12" t="n">
        <x:f>K197-(G197*J197)</x:f>
        <x:v>577.3199999999999</x:v>
      </x:c>
      <x:c r="M197" s="16" t="n">
        <x:f>IFERROR(L197/K197,0)</x:f>
        <x:v>0.35133885102239526</x:v>
      </x:c>
    </x:row>
    <x:row r="198">
      <x:c r="A198" t="str">
        <x:v>ORD-00197</x:v>
      </x:c>
      <x:c r="B198" s="10" t="n">
        <x:v>46029</x:v>
      </x:c>
      <x:c r="C198" t="str">
        <x:v>South</x:v>
      </x:c>
      <x:c r="D198" t="str">
        <x:v>Accessories</x:v>
      </x:c>
      <x:c r="E198" t="str">
        <x:v>Backpack</x:v>
      </x:c>
      <x:c r="F198" t="str">
        <x:v>Felipe</x:v>
      </x:c>
      <x:c r="G198" t="n">
        <x:v>3</x:v>
      </x:c>
      <x:c r="H198" s="12" t="n">
        <x:v>82.26</x:v>
      </x:c>
      <x:c r="I198" s="14" t="n">
        <x:v>0.1</x:v>
      </x:c>
      <x:c r="J198" s="12" t="n">
        <x:v>41.81</x:v>
      </x:c>
      <x:c r="K198" s="12" t="n">
        <x:f>G198*H198*(1-I198)</x:f>
        <x:v>222.10200000000003</x:v>
      </x:c>
      <x:c r="L198" s="12" t="n">
        <x:f>K198-(G198*J198)</x:f>
        <x:v>96.67200000000003</x:v>
      </x:c>
      <x:c r="M198" s="16" t="n">
        <x:f>IFERROR(L198/K198,0)</x:f>
        <x:v>0.43525947537617854</x:v>
      </x:c>
    </x:row>
    <x:row r="199">
      <x:c r="A199" t="str">
        <x:v>ORD-00198</x:v>
      </x:c>
      <x:c r="B199" s="10" t="n">
        <x:v>46207</x:v>
      </x:c>
      <x:c r="C199" t="str">
        <x:v>South</x:v>
      </x:c>
      <x:c r="D199" t="str">
        <x:v>Home</x:v>
      </x:c>
      <x:c r="E199" t="str">
        <x:v>Coffee Maker</x:v>
      </x:c>
      <x:c r="F199" t="str">
        <x:v>Diego</x:v>
      </x:c>
      <x:c r="G199" t="n">
        <x:v>2</x:v>
      </x:c>
      <x:c r="H199" s="12" t="n">
        <x:v>123.57</x:v>
      </x:c>
      <x:c r="I199" s="14" t="n">
        <x:v>0</x:v>
      </x:c>
      <x:c r="J199" s="12" t="n">
        <x:v>70.83</x:v>
      </x:c>
      <x:c r="K199" s="12" t="n">
        <x:f>G199*H199*(1-I199)</x:f>
        <x:v>247.14</x:v>
      </x:c>
      <x:c r="L199" s="12" t="n">
        <x:f>K199-(G199*J199)</x:f>
        <x:v>105.47999999999999</x:v>
      </x:c>
      <x:c r="M199" s="16" t="n">
        <x:f>IFERROR(L199/K199,0)</x:f>
        <x:v>0.42680262199563</x:v>
      </x:c>
    </x:row>
    <x:row r="200">
      <x:c r="A200" t="str">
        <x:v>ORD-00199</x:v>
      </x:c>
      <x:c r="B200" s="10" t="n">
        <x:v>46197</x:v>
      </x:c>
      <x:c r="C200" t="str">
        <x:v>South</x:v>
      </x:c>
      <x:c r="D200" t="str">
        <x:v>Office</x:v>
      </x:c>
      <x:c r="E200" t="str">
        <x:v>Desk Lamp</x:v>
      </x:c>
      <x:c r="F200" t="str">
        <x:v>Ana</x:v>
      </x:c>
      <x:c r="G200" t="n">
        <x:v>3</x:v>
      </x:c>
      <x:c r="H200" s="12" t="n">
        <x:v>53.44</x:v>
      </x:c>
      <x:c r="I200" s="14" t="n">
        <x:v>0.1</x:v>
      </x:c>
      <x:c r="J200" s="12" t="n">
        <x:v>24.12</x:v>
      </x:c>
      <x:c r="K200" s="12" t="n">
        <x:f>G200*H200*(1-I200)</x:f>
        <x:v>144.288</x:v>
      </x:c>
      <x:c r="L200" s="12" t="n">
        <x:f>K200-(G200*J200)</x:f>
        <x:v>71.92800000000001</x:v>
      </x:c>
      <x:c r="M200" s="16" t="n">
        <x:f>IFERROR(L200/K200,0)</x:f>
        <x:v>0.49850299401197606</x:v>
      </x:c>
    </x:row>
    <x:row r="201">
      <x:c r="A201" t="str">
        <x:v>ORD-00200</x:v>
      </x:c>
      <x:c r="B201" s="10" t="n">
        <x:v>46235</x:v>
      </x:c>
      <x:c r="C201" t="str">
        <x:v>Southeast</x:v>
      </x:c>
      <x:c r="D201" t="str">
        <x:v>Office</x:v>
      </x:c>
      <x:c r="E201" t="str">
        <x:v>Standing Desk</x:v>
      </x:c>
      <x:c r="F201" t="str">
        <x:v>Elisa</x:v>
      </x:c>
      <x:c r="G201" t="n">
        <x:v>3</x:v>
      </x:c>
      <x:c r="H201" s="12" t="n">
        <x:v>438.53</x:v>
      </x:c>
      <x:c r="I201" s="14" t="n">
        <x:v>0</x:v>
      </x:c>
      <x:c r="J201" s="12" t="n">
        <x:v>267.64</x:v>
      </x:c>
      <x:c r="K201" s="12" t="n">
        <x:f>G201*H201*(1-I201)</x:f>
        <x:v>1315.59</x:v>
      </x:c>
      <x:c r="L201" s="12" t="n">
        <x:f>K201-(G201*J201)</x:f>
        <x:v>512.67</x:v>
      </x:c>
      <x:c r="M201" s="16" t="n">
        <x:f>IFERROR(L201/K201,0)</x:f>
        <x:v>0.3896882767427542</x:v>
      </x:c>
    </x:row>
    <x:row r="202">
      <x:c r="A202" t="str">
        <x:v>ORD-00201</x:v>
      </x:c>
      <x:c r="B202" s="10" t="n">
        <x:v>46252</x:v>
      </x:c>
      <x:c r="C202" t="str">
        <x:v>Southeast</x:v>
      </x:c>
      <x:c r="D202" t="str">
        <x:v>Technology</x:v>
      </x:c>
      <x:c r="E202" t="str">
        <x:v>Wireless Mouse</x:v>
      </x:c>
      <x:c r="F202" t="str">
        <x:v>Carla</x:v>
      </x:c>
      <x:c r="G202" t="n">
        <x:v>4</x:v>
      </x:c>
      <x:c r="H202" s="12" t="n">
        <x:v>35.34</x:v>
      </x:c>
      <x:c r="I202" s="14" t="n">
        <x:v>0.1</x:v>
      </x:c>
      <x:c r="J202" s="12" t="n">
        <x:v>15.78</x:v>
      </x:c>
      <x:c r="K202" s="12" t="n">
        <x:f>G202*H202*(1-I202)</x:f>
        <x:v>127.22400000000002</x:v>
      </x:c>
      <x:c r="L202" s="12" t="n">
        <x:f>K202-(G202*J202)</x:f>
        <x:v>64.10400000000001</x:v>
      </x:c>
      <x:c r="M202" s="16" t="n">
        <x:f>IFERROR(L202/K202,0)</x:f>
        <x:v>0.5038671948688926</x:v>
      </x:c>
    </x:row>
    <x:row r="203">
      <x:c r="A203" t="str">
        <x:v>ORD-00202</x:v>
      </x:c>
      <x:c r="B203" s="10" t="n">
        <x:v>46180</x:v>
      </x:c>
      <x:c r="C203" t="str">
        <x:v>South</x:v>
      </x:c>
      <x:c r="D203" t="str">
        <x:v>Office</x:v>
      </x:c>
      <x:c r="E203" t="str">
        <x:v>Desk Lamp</x:v>
      </x:c>
      <x:c r="F203" t="str">
        <x:v>Carla</x:v>
      </x:c>
      <x:c r="G203" t="n">
        <x:v>3</x:v>
      </x:c>
      <x:c r="H203" s="12" t="n">
        <x:v>55.89</x:v>
      </x:c>
      <x:c r="I203" s="14" t="n">
        <x:v>0</x:v>
      </x:c>
      <x:c r="J203" s="12" t="n">
        <x:v>24.6</x:v>
      </x:c>
      <x:c r="K203" s="12" t="n">
        <x:f>G203*H203*(1-I203)</x:f>
        <x:v>167.67000000000002</x:v>
      </x:c>
      <x:c r="L203" s="12" t="n">
        <x:f>K203-(G203*J203)</x:f>
        <x:v>93.87</x:v>
      </x:c>
      <x:c r="M203" s="16" t="n">
        <x:f>IFERROR(L203/K203,0)</x:f>
        <x:v>0.5598497047772409</x:v>
      </x:c>
    </x:row>
    <x:row r="204">
      <x:c r="A204" t="str">
        <x:v>ORD-00203</x:v>
      </x:c>
      <x:c r="B204" s="10" t="n">
        <x:v>46238</x:v>
      </x:c>
      <x:c r="C204" t="str">
        <x:v>North</x:v>
      </x:c>
      <x:c r="D204" t="str">
        <x:v>Technology</x:v>
      </x:c>
      <x:c r="E204" t="str">
        <x:v>Laptop Pro</x:v>
      </x:c>
      <x:c r="F204" t="str">
        <x:v>Felipe</x:v>
      </x:c>
      <x:c r="G204" t="n">
        <x:v>2</x:v>
      </x:c>
      <x:c r="H204" s="12" t="n">
        <x:v>1221.28</x:v>
      </x:c>
      <x:c r="I204" s="14" t="n">
        <x:v>0</x:v>
      </x:c>
      <x:c r="J204" s="12" t="n">
        <x:v>857.51</x:v>
      </x:c>
      <x:c r="K204" s="12" t="n">
        <x:f>G204*H204*(1-I204)</x:f>
        <x:v>2442.56</x:v>
      </x:c>
      <x:c r="L204" s="12" t="n">
        <x:f>K204-(G204*J204)</x:f>
        <x:v>727.54</x:v>
      </x:c>
      <x:c r="M204" s="16" t="n">
        <x:f>IFERROR(L204/K204,0)</x:f>
        <x:v>0.2978596226909472</x:v>
      </x:c>
    </x:row>
    <x:row r="205">
      <x:c r="A205" t="str">
        <x:v>ORD-00204</x:v>
      </x:c>
      <x:c r="B205" s="10" t="n">
        <x:v>46076</x:v>
      </x:c>
      <x:c r="C205" t="str">
        <x:v>Midwest</x:v>
      </x:c>
      <x:c r="D205" t="str">
        <x:v>Home</x:v>
      </x:c>
      <x:c r="E205" t="str">
        <x:v>Smart Lamp</x:v>
      </x:c>
      <x:c r="F205" t="str">
        <x:v>Carla</x:v>
      </x:c>
      <x:c r="G205" t="n">
        <x:v>1</x:v>
      </x:c>
      <x:c r="H205" s="12" t="n">
        <x:v>66.07</x:v>
      </x:c>
      <x:c r="I205" s="14" t="n">
        <x:v>0.05</x:v>
      </x:c>
      <x:c r="J205" s="12" t="n">
        <x:v>28.84</x:v>
      </x:c>
      <x:c r="K205" s="12" t="n">
        <x:f>G205*H205*(1-I205)</x:f>
        <x:v>62.76649999999999</x:v>
      </x:c>
      <x:c r="L205" s="12" t="n">
        <x:f>K205-(G205*J205)</x:f>
        <x:v>33.92649999999999</x:v>
      </x:c>
      <x:c r="M205" s="16" t="n">
        <x:f>IFERROR(L205/K205,0)</x:f>
        <x:v>0.5405192260202496</x:v>
      </x:c>
    </x:row>
    <x:row r="206">
      <x:c r="A206" t="str">
        <x:v>ORD-00205</x:v>
      </x:c>
      <x:c r="B206" s="10" t="n">
        <x:v>46146</x:v>
      </x:c>
      <x:c r="C206" t="str">
        <x:v>Southeast</x:v>
      </x:c>
      <x:c r="D206" t="str">
        <x:v>Home</x:v>
      </x:c>
      <x:c r="E206" t="str">
        <x:v>Coffee Maker</x:v>
      </x:c>
      <x:c r="F206" t="str">
        <x:v>Diego</x:v>
      </x:c>
      <x:c r="G206" t="n">
        <x:v>8</x:v>
      </x:c>
      <x:c r="H206" s="12" t="n">
        <x:v>120.67</x:v>
      </x:c>
      <x:c r="I206" s="14" t="n">
        <x:v>0</x:v>
      </x:c>
      <x:c r="J206" s="12" t="n">
        <x:v>72.14</x:v>
      </x:c>
      <x:c r="K206" s="12" t="n">
        <x:f>G206*H206*(1-I206)</x:f>
        <x:v>965.36</x:v>
      </x:c>
      <x:c r="L206" s="12" t="n">
        <x:f>K206-(G206*J206)</x:f>
        <x:v>388.24</x:v>
      </x:c>
      <x:c r="M206" s="16" t="n">
        <x:f>IFERROR(L206/K206,0)</x:f>
        <x:v>0.4021712107400348</x:v>
      </x:c>
    </x:row>
    <x:row r="207">
      <x:c r="A207" t="str">
        <x:v>ORD-00206</x:v>
      </x:c>
      <x:c r="B207" s="10" t="n">
        <x:v>46141</x:v>
      </x:c>
      <x:c r="C207" t="str">
        <x:v>Southeast</x:v>
      </x:c>
      <x:c r="D207" t="str">
        <x:v>Office</x:v>
      </x:c>
      <x:c r="E207" t="str">
        <x:v>Standing Desk</x:v>
      </x:c>
      <x:c r="F207" t="str">
        <x:v>Bruno</x:v>
      </x:c>
      <x:c r="G207" t="n">
        <x:v>6</x:v>
      </x:c>
      <x:c r="H207" s="12" t="n">
        <x:v>435.74</x:v>
      </x:c>
      <x:c r="I207" s="14" t="n">
        <x:v>0.1</x:v>
      </x:c>
      <x:c r="J207" s="12" t="n">
        <x:v>277.77</x:v>
      </x:c>
      <x:c r="K207" s="12" t="n">
        <x:f>G207*H207*(1-I207)</x:f>
        <x:v>2352.996</x:v>
      </x:c>
      <x:c r="L207" s="12" t="n">
        <x:f>K207-(G207*J207)</x:f>
        <x:v>686.3760000000002</x:v>
      </x:c>
      <x:c r="M207" s="16" t="n">
        <x:f>IFERROR(L207/K207,0)</x:f>
        <x:v>0.2917030033200227</x:v>
      </x:c>
    </x:row>
    <x:row r="208">
      <x:c r="A208" t="str">
        <x:v>ORD-00207</x:v>
      </x:c>
      <x:c r="B208" s="10" t="n">
        <x:v>46217</x:v>
      </x:c>
      <x:c r="C208" t="str">
        <x:v>South</x:v>
      </x:c>
      <x:c r="D208" t="str">
        <x:v>Technology</x:v>
      </x:c>
      <x:c r="E208" t="str">
        <x:v>Wireless Mouse</x:v>
      </x:c>
      <x:c r="F208" t="str">
        <x:v>Ana</x:v>
      </x:c>
      <x:c r="G208" t="n">
        <x:v>4</x:v>
      </x:c>
      <x:c r="H208" s="12" t="n">
        <x:v>34.44</x:v>
      </x:c>
      <x:c r="I208" s="14" t="n">
        <x:v>0.05</x:v>
      </x:c>
      <x:c r="J208" s="12" t="n">
        <x:v>15.88</x:v>
      </x:c>
      <x:c r="K208" s="12" t="n">
        <x:f>G208*H208*(1-I208)</x:f>
        <x:v>130.87199999999999</x:v>
      </x:c>
      <x:c r="L208" s="12" t="n">
        <x:f>K208-(G208*J208)</x:f>
        <x:v>67.35199999999998</x:v>
      </x:c>
      <x:c r="M208" s="16" t="n">
        <x:f>IFERROR(L208/K208,0)</x:f>
        <x:v>0.5146402591845466</x:v>
      </x:c>
    </x:row>
    <x:row r="209">
      <x:c r="A209" t="str">
        <x:v>ORD-00208</x:v>
      </x:c>
      <x:c r="B209" s="10" t="n">
        <x:v>46035</x:v>
      </x:c>
      <x:c r="C209" t="str">
        <x:v>Southeast</x:v>
      </x:c>
      <x:c r="D209" t="str">
        <x:v>Home</x:v>
      </x:c>
      <x:c r="E209" t="str">
        <x:v>Smart Lamp</x:v>
      </x:c>
      <x:c r="F209" t="str">
        <x:v>Carla</x:v>
      </x:c>
      <x:c r="G209" t="n">
        <x:v>7</x:v>
      </x:c>
      <x:c r="H209" s="12" t="n">
        <x:v>67.46</x:v>
      </x:c>
      <x:c r="I209" s="14" t="n">
        <x:v>0</x:v>
      </x:c>
      <x:c r="J209" s="12" t="n">
        <x:v>28.65</x:v>
      </x:c>
      <x:c r="K209" s="12" t="n">
        <x:f>G209*H209*(1-I209)</x:f>
        <x:v>472.21999999999997</x:v>
      </x:c>
      <x:c r="L209" s="12" t="n">
        <x:f>K209-(G209*J209)</x:f>
        <x:v>271.66999999999996</x:v>
      </x:c>
      <x:c r="M209" s="16" t="n">
        <x:f>IFERROR(L209/K209,0)</x:f>
        <x:v>0.5753038837829825</x:v>
      </x:c>
    </x:row>
    <x:row r="210">
      <x:c r="A210" t="str">
        <x:v>ORD-00209</x:v>
      </x:c>
      <x:c r="B210" s="10" t="n">
        <x:v>46262</x:v>
      </x:c>
      <x:c r="C210" t="str">
        <x:v>Northeast</x:v>
      </x:c>
      <x:c r="D210" t="str">
        <x:v>Accessories</x:v>
      </x:c>
      <x:c r="E210" t="str">
        <x:v>USB-C Hub</x:v>
      </x:c>
      <x:c r="F210" t="str">
        <x:v>Carla</x:v>
      </x:c>
      <x:c r="G210" t="n">
        <x:v>3</x:v>
      </x:c>
      <x:c r="H210" s="12" t="n">
        <x:v>70.44</x:v>
      </x:c>
      <x:c r="I210" s="14" t="n">
        <x:v>0.05</x:v>
      </x:c>
      <x:c r="J210" s="12" t="n">
        <x:v>32.16</x:v>
      </x:c>
      <x:c r="K210" s="12" t="n">
        <x:f>G210*H210*(1-I210)</x:f>
        <x:v>200.754</x:v>
      </x:c>
      <x:c r="L210" s="12" t="n">
        <x:f>K210-(G210*J210)</x:f>
        <x:v>104.274</x:v>
      </x:c>
      <x:c r="M210" s="16" t="n">
        <x:f>IFERROR(L210/K210,0)</x:f>
        <x:v>0.5194118174482203</x:v>
      </x:c>
    </x:row>
    <x:row r="211">
      <x:c r="A211" t="str">
        <x:v>ORD-00210</x:v>
      </x:c>
      <x:c r="B211" s="10" t="n">
        <x:v>46150</x:v>
      </x:c>
      <x:c r="C211" t="str">
        <x:v>Southeast</x:v>
      </x:c>
      <x:c r="D211" t="str">
        <x:v>Home</x:v>
      </x:c>
      <x:c r="E211" t="str">
        <x:v>Smart Lamp</x:v>
      </x:c>
      <x:c r="F211" t="str">
        <x:v>Ana</x:v>
      </x:c>
      <x:c r="G211" t="n">
        <x:v>8</x:v>
      </x:c>
      <x:c r="H211" s="12" t="n">
        <x:v>63.66</x:v>
      </x:c>
      <x:c r="I211" s="14" t="n">
        <x:v>0.2</x:v>
      </x:c>
      <x:c r="J211" s="12" t="n">
        <x:v>28.93</x:v>
      </x:c>
      <x:c r="K211" s="12" t="n">
        <x:f>G211*H211*(1-I211)</x:f>
        <x:v>407.424</x:v>
      </x:c>
      <x:c r="L211" s="12" t="n">
        <x:f>K211-(G211*J211)</x:f>
        <x:v>175.98399999999998</x:v>
      </x:c>
      <x:c r="M211" s="16" t="n">
        <x:f>IFERROR(L211/K211,0)</x:f>
        <x:v>0.43194313540684887</x:v>
      </x:c>
    </x:row>
    <x:row r="212">
      <x:c r="A212" t="str">
        <x:v>ORD-00211</x:v>
      </x:c>
      <x:c r="B212" s="10" t="n">
        <x:v>46095</x:v>
      </x:c>
      <x:c r="C212" t="str">
        <x:v>South</x:v>
      </x:c>
      <x:c r="D212" t="str">
        <x:v>Home</x:v>
      </x:c>
      <x:c r="E212" t="str">
        <x:v>Coffee Maker</x:v>
      </x:c>
      <x:c r="F212" t="str">
        <x:v>Felipe</x:v>
      </x:c>
      <x:c r="G212" t="n">
        <x:v>1</x:v>
      </x:c>
      <x:c r="H212" s="12" t="n">
        <x:v>124.85</x:v>
      </x:c>
      <x:c r="I212" s="14" t="n">
        <x:v>0.15</x:v>
      </x:c>
      <x:c r="J212" s="12" t="n">
        <x:v>73.74</x:v>
      </x:c>
      <x:c r="K212" s="12" t="n">
        <x:f>G212*H212*(1-I212)</x:f>
        <x:v>106.12249999999999</x:v>
      </x:c>
      <x:c r="L212" s="12" t="n">
        <x:f>K212-(G212*J212)</x:f>
        <x:v>32.38249999999999</x:v>
      </x:c>
      <x:c r="M212" s="16" t="n">
        <x:f>IFERROR(L212/K212,0)</x:f>
        <x:v>0.30514264175834527</x:v>
      </x:c>
    </x:row>
    <x:row r="213">
      <x:c r="A213" t="str">
        <x:v>ORD-00212</x:v>
      </x:c>
      <x:c r="B213" s="10" t="n">
        <x:v>46116</x:v>
      </x:c>
      <x:c r="C213" t="str">
        <x:v>Midwest</x:v>
      </x:c>
      <x:c r="D213" t="str">
        <x:v>Accessories</x:v>
      </x:c>
      <x:c r="E213" t="str">
        <x:v>USB-C Hub</x:v>
      </x:c>
      <x:c r="F213" t="str">
        <x:v>Carla</x:v>
      </x:c>
      <x:c r="G213" t="n">
        <x:v>7</x:v>
      </x:c>
      <x:c r="H213" s="12" t="n">
        <x:v>70.74</x:v>
      </x:c>
      <x:c r="I213" s="14" t="n">
        <x:v>0</x:v>
      </x:c>
      <x:c r="J213" s="12" t="n">
        <x:v>31.94</x:v>
      </x:c>
      <x:c r="K213" s="12" t="n">
        <x:f>G213*H213*(1-I213)</x:f>
        <x:v>495.17999999999995</x:v>
      </x:c>
      <x:c r="L213" s="12" t="n">
        <x:f>K213-(G213*J213)</x:f>
        <x:v>271.5999999999999</x:v>
      </x:c>
      <x:c r="M213" s="16" t="n">
        <x:f>IFERROR(L213/K213,0)</x:f>
        <x:v>0.5484874187164263</x:v>
      </x:c>
    </x:row>
    <x:row r="214">
      <x:c r="A214" t="str">
        <x:v>ORD-00213</x:v>
      </x:c>
      <x:c r="B214" s="10" t="n">
        <x:v>46041</x:v>
      </x:c>
      <x:c r="C214" t="str">
        <x:v>South</x:v>
      </x:c>
      <x:c r="D214" t="str">
        <x:v>Home</x:v>
      </x:c>
      <x:c r="E214" t="str">
        <x:v>Smart Lamp</x:v>
      </x:c>
      <x:c r="F214" t="str">
        <x:v>Bruno</x:v>
      </x:c>
      <x:c r="G214" t="n">
        <x:v>5</x:v>
      </x:c>
      <x:c r="H214" s="12" t="n">
        <x:v>66.05</x:v>
      </x:c>
      <x:c r="I214" s="14" t="n">
        <x:v>0.15</x:v>
      </x:c>
      <x:c r="J214" s="12" t="n">
        <x:v>29.31</x:v>
      </x:c>
      <x:c r="K214" s="12" t="n">
        <x:f>G214*H214*(1-I214)</x:f>
        <x:v>280.7125</x:v>
      </x:c>
      <x:c r="L214" s="12" t="n">
        <x:f>K214-(G214*J214)</x:f>
        <x:v>134.1625</x:v>
      </x:c>
      <x:c r="M214" s="16" t="n">
        <x:f>IFERROR(L214/K214,0)</x:f>
        <x:v>0.4779356102774191</x:v>
      </x:c>
    </x:row>
    <x:row r="215">
      <x:c r="A215" t="str">
        <x:v>ORD-00214</x:v>
      </x:c>
      <x:c r="B215" s="10" t="n">
        <x:v>46047</x:v>
      </x:c>
      <x:c r="C215" t="str">
        <x:v>South</x:v>
      </x:c>
      <x:c r="D215" t="str">
        <x:v>Accessories</x:v>
      </x:c>
      <x:c r="E215" t="str">
        <x:v>Webcam HD</x:v>
      </x:c>
      <x:c r="F215" t="str">
        <x:v>Elisa</x:v>
      </x:c>
      <x:c r="G215" t="n">
        <x:v>6</x:v>
      </x:c>
      <x:c r="H215" s="12" t="n">
        <x:v>92.9</x:v>
      </x:c>
      <x:c r="I215" s="14" t="n">
        <x:v>0.1</x:v>
      </x:c>
      <x:c r="J215" s="12" t="n">
        <x:v>48.26</x:v>
      </x:c>
      <x:c r="K215" s="12" t="n">
        <x:f>G215*H215*(1-I215)</x:f>
        <x:v>501.6600000000001</x:v>
      </x:c>
      <x:c r="L215" s="12" t="n">
        <x:f>K215-(G215*J215)</x:f>
        <x:v>212.10000000000008</x:v>
      </x:c>
      <x:c r="M215" s="16" t="n">
        <x:f>IFERROR(L215/K215,0)</x:f>
        <x:v>0.4227963162301161</x:v>
      </x:c>
    </x:row>
    <x:row r="216">
      <x:c r="A216" t="str">
        <x:v>ORD-00215</x:v>
      </x:c>
      <x:c r="B216" s="10" t="n">
        <x:v>46033</x:v>
      </x:c>
      <x:c r="C216" t="str">
        <x:v>Southeast</x:v>
      </x:c>
      <x:c r="D216" t="str">
        <x:v>Office</x:v>
      </x:c>
      <x:c r="E216" t="str">
        <x:v>Desk Lamp</x:v>
      </x:c>
      <x:c r="F216" t="str">
        <x:v>Elisa</x:v>
      </x:c>
      <x:c r="G216" t="n">
        <x:v>6</x:v>
      </x:c>
      <x:c r="H216" s="12" t="n">
        <x:v>55.37</x:v>
      </x:c>
      <x:c r="I216" s="14" t="n">
        <x:v>0.15</x:v>
      </x:c>
      <x:c r="J216" s="12" t="n">
        <x:v>23.7</x:v>
      </x:c>
      <x:c r="K216" s="12" t="n">
        <x:f>G216*H216*(1-I216)</x:f>
        <x:v>282.38699999999994</x:v>
      </x:c>
      <x:c r="L216" s="12" t="n">
        <x:f>K216-(G216*J216)</x:f>
        <x:v>140.18699999999995</x:v>
      </x:c>
      <x:c r="M216" s="16" t="n">
        <x:f>IFERROR(L216/K216,0)</x:f>
        <x:v>0.4964357424385683</x:v>
      </x:c>
    </x:row>
    <x:row r="217">
      <x:c r="A217" t="str">
        <x:v>ORD-00216</x:v>
      </x:c>
      <x:c r="B217" s="10" t="n">
        <x:v>46058</x:v>
      </x:c>
      <x:c r="C217" t="str">
        <x:v>Southeast</x:v>
      </x:c>
      <x:c r="D217" t="str">
        <x:v>Accessories</x:v>
      </x:c>
      <x:c r="E217" t="str">
        <x:v>USB-C Hub</x:v>
      </x:c>
      <x:c r="F217" t="str">
        <x:v>Carla</x:v>
      </x:c>
      <x:c r="G217" t="n">
        <x:v>7</x:v>
      </x:c>
      <x:c r="H217" s="12" t="n">
        <x:v>71.86</x:v>
      </x:c>
      <x:c r="I217" s="14" t="n">
        <x:v>0.2</x:v>
      </x:c>
      <x:c r="J217" s="12" t="n">
        <x:v>31.84</x:v>
      </x:c>
      <x:c r="K217" s="12" t="n">
        <x:f>G217*H217*(1-I217)</x:f>
        <x:v>402.416</x:v>
      </x:c>
      <x:c r="L217" s="12" t="n">
        <x:f>K217-(G217*J217)</x:f>
        <x:v>179.536</x:v>
      </x:c>
      <x:c r="M217" s="16" t="n">
        <x:f>IFERROR(L217/K217,0)</x:f>
        <x:v>0.4461452824937378</x:v>
      </x:c>
    </x:row>
    <x:row r="218">
      <x:c r="A218" t="str">
        <x:v>ORD-00217</x:v>
      </x:c>
      <x:c r="B218" s="10" t="n">
        <x:v>46152</x:v>
      </x:c>
      <x:c r="C218" t="str">
        <x:v>Midwest</x:v>
      </x:c>
      <x:c r="D218" t="str">
        <x:v>Home</x:v>
      </x:c>
      <x:c r="E218" t="str">
        <x:v>Smart Lamp</x:v>
      </x:c>
      <x:c r="F218" t="str">
        <x:v>Ana</x:v>
      </x:c>
      <x:c r="G218" t="n">
        <x:v>5</x:v>
      </x:c>
      <x:c r="H218" s="12" t="n">
        <x:v>62.5</x:v>
      </x:c>
      <x:c r="I218" s="14" t="n">
        <x:v>0.05</x:v>
      </x:c>
      <x:c r="J218" s="12" t="n">
        <x:v>28.9</x:v>
      </x:c>
      <x:c r="K218" s="12" t="n">
        <x:f>G218*H218*(1-I218)</x:f>
        <x:v>296.875</x:v>
      </x:c>
      <x:c r="L218" s="12" t="n">
        <x:f>K218-(G218*J218)</x:f>
        <x:v>152.375</x:v>
      </x:c>
      <x:c r="M218" s="16" t="n">
        <x:f>IFERROR(L218/K218,0)</x:f>
        <x:v>0.5132631578947369</x:v>
      </x:c>
    </x:row>
    <x:row r="219">
      <x:c r="A219" t="str">
        <x:v>ORD-00218</x:v>
      </x:c>
      <x:c r="B219" s="10" t="n">
        <x:v>46129</x:v>
      </x:c>
      <x:c r="C219" t="str">
        <x:v>Northeast</x:v>
      </x:c>
      <x:c r="D219" t="str">
        <x:v>Technology</x:v>
      </x:c>
      <x:c r="E219" t="str">
        <x:v>Monitor 27</x:v>
      </x:c>
      <x:c r="F219" t="str">
        <x:v>Elisa</x:v>
      </x:c>
      <x:c r="G219" t="n">
        <x:v>8</x:v>
      </x:c>
      <x:c r="H219" s="12" t="n">
        <x:v>295.51</x:v>
      </x:c>
      <x:c r="I219" s="14" t="n">
        <x:v>0</x:v>
      </x:c>
      <x:c r="J219" s="12" t="n">
        <x:v>185.15</x:v>
      </x:c>
      <x:c r="K219" s="12" t="n">
        <x:f>G219*H219*(1-I219)</x:f>
        <x:v>2364.08</x:v>
      </x:c>
      <x:c r="L219" s="12" t="n">
        <x:f>K219-(G219*J219)</x:f>
        <x:v>882.8799999999999</x:v>
      </x:c>
      <x:c r="M219" s="16" t="n">
        <x:f>IFERROR(L219/K219,0)</x:f>
        <x:v>0.3734560590166153</x:v>
      </x:c>
    </x:row>
    <x:row r="220">
      <x:c r="A220" t="str">
        <x:v>ORD-00219</x:v>
      </x:c>
      <x:c r="B220" s="10" t="n">
        <x:v>46170</x:v>
      </x:c>
      <x:c r="C220" t="str">
        <x:v>Southeast</x:v>
      </x:c>
      <x:c r="D220" t="str">
        <x:v>Technology</x:v>
      </x:c>
      <x:c r="E220" t="str">
        <x:v>Monitor 27</x:v>
      </x:c>
      <x:c r="F220" t="str">
        <x:v>Diego</x:v>
      </x:c>
      <x:c r="G220" t="n">
        <x:v>8</x:v>
      </x:c>
      <x:c r="H220" s="12" t="n">
        <x:v>294.82</x:v>
      </x:c>
      <x:c r="I220" s="14" t="n">
        <x:v>0</x:v>
      </x:c>
      <x:c r="J220" s="12" t="n">
        <x:v>181.98</x:v>
      </x:c>
      <x:c r="K220" s="12" t="n">
        <x:f>G220*H220*(1-I220)</x:f>
        <x:v>2358.56</x:v>
      </x:c>
      <x:c r="L220" s="12" t="n">
        <x:f>K220-(G220*J220)</x:f>
        <x:v>902.72</x:v>
      </x:c>
      <x:c r="M220" s="16" t="n">
        <x:f>IFERROR(L220/K220,0)</x:f>
        <x:v>0.3827420120751645</x:v>
      </x:c>
    </x:row>
    <x:row r="221">
      <x:c r="A221" t="str">
        <x:v>ORD-00220</x:v>
      </x:c>
      <x:c r="B221" s="10" t="n">
        <x:v>46060</x:v>
      </x:c>
      <x:c r="C221" t="str">
        <x:v>Midwest</x:v>
      </x:c>
      <x:c r="D221" t="str">
        <x:v>Office</x:v>
      </x:c>
      <x:c r="E221" t="str">
        <x:v>Office Chair</x:v>
      </x:c>
      <x:c r="F221" t="str">
        <x:v>Diego</x:v>
      </x:c>
      <x:c r="G221" t="n">
        <x:v>2</x:v>
      </x:c>
      <x:c r="H221" s="12" t="n">
        <x:v>219.93</x:v>
      </x:c>
      <x:c r="I221" s="14" t="n">
        <x:v>0</x:v>
      </x:c>
      <x:c r="J221" s="12" t="n">
        <x:v>130.12</x:v>
      </x:c>
      <x:c r="K221" s="12" t="n">
        <x:f>G221*H221*(1-I221)</x:f>
        <x:v>439.86</x:v>
      </x:c>
      <x:c r="L221" s="12" t="n">
        <x:f>K221-(G221*J221)</x:f>
        <x:v>179.62</x:v>
      </x:c>
      <x:c r="M221" s="16" t="n">
        <x:f>IFERROR(L221/K221,0)</x:f>
        <x:v>0.4083572045650889</x:v>
      </x:c>
    </x:row>
    <x:row r="222">
      <x:c r="A222" t="str">
        <x:v>ORD-00221</x:v>
      </x:c>
      <x:c r="B222" s="10" t="n">
        <x:v>46199</x:v>
      </x:c>
      <x:c r="C222" t="str">
        <x:v>Southeast</x:v>
      </x:c>
      <x:c r="D222" t="str">
        <x:v>Home</x:v>
      </x:c>
      <x:c r="E222" t="str">
        <x:v>Smart Lamp</x:v>
      </x:c>
      <x:c r="F222" t="str">
        <x:v>Felipe</x:v>
      </x:c>
      <x:c r="G222" t="n">
        <x:v>1</x:v>
      </x:c>
      <x:c r="H222" s="12" t="n">
        <x:v>65.43</x:v>
      </x:c>
      <x:c r="I222" s="14" t="n">
        <x:v>0.1</x:v>
      </x:c>
      <x:c r="J222" s="12" t="n">
        <x:v>29.23</x:v>
      </x:c>
      <x:c r="K222" s="12" t="n">
        <x:f>G222*H222*(1-I222)</x:f>
        <x:v>58.88700000000001</x:v>
      </x:c>
      <x:c r="L222" s="12" t="n">
        <x:f>K222-(G222*J222)</x:f>
        <x:v>29.657000000000007</x:v>
      </x:c>
      <x:c r="M222" s="16" t="n">
        <x:f>IFERROR(L222/K222,0)</x:f>
        <x:v>0.5036255879905582</x:v>
      </x:c>
    </x:row>
    <x:row r="223">
      <x:c r="A223" t="str">
        <x:v>ORD-00222</x:v>
      </x:c>
      <x:c r="B223" s="10" t="n">
        <x:v>46145</x:v>
      </x:c>
      <x:c r="C223" t="str">
        <x:v>South</x:v>
      </x:c>
      <x:c r="D223" t="str">
        <x:v>Accessories</x:v>
      </x:c>
      <x:c r="E223" t="str">
        <x:v>USB-C Hub</x:v>
      </x:c>
      <x:c r="F223" t="str">
        <x:v>Felipe</x:v>
      </x:c>
      <x:c r="G223" t="n">
        <x:v>8</x:v>
      </x:c>
      <x:c r="H223" s="12" t="n">
        <x:v>69.36</x:v>
      </x:c>
      <x:c r="I223" s="14" t="n">
        <x:v>0.15</x:v>
      </x:c>
      <x:c r="J223" s="12" t="n">
        <x:v>31.93</x:v>
      </x:c>
      <x:c r="K223" s="12" t="n">
        <x:f>G223*H223*(1-I223)</x:f>
        <x:v>471.64799999999997</x:v>
      </x:c>
      <x:c r="L223" s="12" t="n">
        <x:f>K223-(G223*J223)</x:f>
        <x:v>216.20799999999997</x:v>
      </x:c>
      <x:c r="M223" s="16" t="n">
        <x:f>IFERROR(L223/K223,0)</x:f>
        <x:v>0.4584096614424316</x:v>
      </x:c>
    </x:row>
    <x:row r="224">
      <x:c r="A224" t="str">
        <x:v>ORD-00223</x:v>
      </x:c>
      <x:c r="B224" s="10" t="n">
        <x:v>46197</x:v>
      </x:c>
      <x:c r="C224" t="str">
        <x:v>Northeast</x:v>
      </x:c>
      <x:c r="D224" t="str">
        <x:v>Accessories</x:v>
      </x:c>
      <x:c r="E224" t="str">
        <x:v>Webcam HD</x:v>
      </x:c>
      <x:c r="F224" t="str">
        <x:v>Bruno</x:v>
      </x:c>
      <x:c r="G224" t="n">
        <x:v>8</x:v>
      </x:c>
      <x:c r="H224" s="12" t="n">
        <x:v>93.31</x:v>
      </x:c>
      <x:c r="I224" s="14" t="n">
        <x:v>0</x:v>
      </x:c>
      <x:c r="J224" s="12" t="n">
        <x:v>48.38</x:v>
      </x:c>
      <x:c r="K224" s="12" t="n">
        <x:f>G224*H224*(1-I224)</x:f>
        <x:v>746.48</x:v>
      </x:c>
      <x:c r="L224" s="12" t="n">
        <x:f>K224-(G224*J224)</x:f>
        <x:v>359.44</x:v>
      </x:c>
      <x:c r="M224" s="16" t="n">
        <x:f>IFERROR(L224/K224,0)</x:f>
        <x:v>0.48151323545172003</x:v>
      </x:c>
    </x:row>
    <x:row r="225">
      <x:c r="A225" t="str">
        <x:v>ORD-00224</x:v>
      </x:c>
      <x:c r="B225" s="10" t="n">
        <x:v>46264</x:v>
      </x:c>
      <x:c r="C225" t="str">
        <x:v>North</x:v>
      </x:c>
      <x:c r="D225" t="str">
        <x:v>Accessories</x:v>
      </x:c>
      <x:c r="E225" t="str">
        <x:v>Backpack</x:v>
      </x:c>
      <x:c r="F225" t="str">
        <x:v>Elisa</x:v>
      </x:c>
      <x:c r="G225" t="n">
        <x:v>4</x:v>
      </x:c>
      <x:c r="H225" s="12" t="n">
        <x:v>85.34</x:v>
      </x:c>
      <x:c r="I225" s="14" t="n">
        <x:v>0.1</x:v>
      </x:c>
      <x:c r="J225" s="12" t="n">
        <x:v>42.17</x:v>
      </x:c>
      <x:c r="K225" s="12" t="n">
        <x:f>G225*H225*(1-I225)</x:f>
        <x:v>307.22400000000005</x:v>
      </x:c>
      <x:c r="L225" s="12" t="n">
        <x:f>K225-(G225*J225)</x:f>
        <x:v>138.54400000000004</x:v>
      </x:c>
      <x:c r="M225" s="16" t="n">
        <x:f>IFERROR(L225/K225,0)</x:f>
        <x:v>0.4509543525245424</x:v>
      </x:c>
    </x:row>
    <x:row r="226">
      <x:c r="A226" t="str">
        <x:v>ORD-00225</x:v>
      </x:c>
      <x:c r="B226" s="10" t="n">
        <x:v>46262</x:v>
      </x:c>
      <x:c r="C226" t="str">
        <x:v>North</x:v>
      </x:c>
      <x:c r="D226" t="str">
        <x:v>Accessories</x:v>
      </x:c>
      <x:c r="E226" t="str">
        <x:v>Backpack</x:v>
      </x:c>
      <x:c r="F226" t="str">
        <x:v>Diego</x:v>
      </x:c>
      <x:c r="G226" t="n">
        <x:v>2</x:v>
      </x:c>
      <x:c r="H226" s="12" t="n">
        <x:v>85.76</x:v>
      </x:c>
      <x:c r="I226" s="14" t="n">
        <x:v>0.05</x:v>
      </x:c>
      <x:c r="J226" s="12" t="n">
        <x:v>43.04</x:v>
      </x:c>
      <x:c r="K226" s="12" t="n">
        <x:f>G226*H226*(1-I226)</x:f>
        <x:v>162.944</x:v>
      </x:c>
      <x:c r="L226" s="12" t="n">
        <x:f>K226-(G226*J226)</x:f>
        <x:v>76.86399999999999</x:v>
      </x:c>
      <x:c r="M226" s="16" t="n">
        <x:f>IFERROR(L226/K226,0)</x:f>
        <x:v>0.4717203456402199</x:v>
      </x:c>
    </x:row>
    <x:row r="227">
      <x:c r="A227" t="str">
        <x:v>ORD-00226</x:v>
      </x:c>
      <x:c r="B227" s="10" t="n">
        <x:v>46232</x:v>
      </x:c>
      <x:c r="C227" t="str">
        <x:v>Southeast</x:v>
      </x:c>
      <x:c r="D227" t="str">
        <x:v>Office</x:v>
      </x:c>
      <x:c r="E227" t="str">
        <x:v>Standing Desk</x:v>
      </x:c>
      <x:c r="F227" t="str">
        <x:v>Diego</x:v>
      </x:c>
      <x:c r="G227" t="n">
        <x:v>1</x:v>
      </x:c>
      <x:c r="H227" s="12" t="n">
        <x:v>430.19</x:v>
      </x:c>
      <x:c r="I227" s="14" t="n">
        <x:v>0</x:v>
      </x:c>
      <x:c r="J227" s="12" t="n">
        <x:v>269.28</x:v>
      </x:c>
      <x:c r="K227" s="12" t="n">
        <x:f>G227*H227*(1-I227)</x:f>
        <x:v>430.19</x:v>
      </x:c>
      <x:c r="L227" s="12" t="n">
        <x:f>K227-(G227*J227)</x:f>
        <x:v>160.91000000000003</x:v>
      </x:c>
      <x:c r="M227" s="16" t="n">
        <x:f>IFERROR(L227/K227,0)</x:f>
        <x:v>0.3740440270578117</x:v>
      </x:c>
    </x:row>
    <x:row r="228">
      <x:c r="A228" t="str">
        <x:v>ORD-00227</x:v>
      </x:c>
      <x:c r="B228" s="10" t="n">
        <x:v>46190</x:v>
      </x:c>
      <x:c r="C228" t="str">
        <x:v>Southeast</x:v>
      </x:c>
      <x:c r="D228" t="str">
        <x:v>Home</x:v>
      </x:c>
      <x:c r="E228" t="str">
        <x:v>Air Purifier</x:v>
      </x:c>
      <x:c r="F228" t="str">
        <x:v>Carla</x:v>
      </x:c>
      <x:c r="G228" t="n">
        <x:v>4</x:v>
      </x:c>
      <x:c r="H228" s="12" t="n">
        <x:v>177.19</x:v>
      </x:c>
      <x:c r="I228" s="14" t="n">
        <x:v>0.15</x:v>
      </x:c>
      <x:c r="J228" s="12" t="n">
        <x:v>110.89</x:v>
      </x:c>
      <x:c r="K228" s="12" t="n">
        <x:f>G228*H228*(1-I228)</x:f>
        <x:v>602.446</x:v>
      </x:c>
      <x:c r="L228" s="12" t="n">
        <x:f>K228-(G228*J228)</x:f>
        <x:v>158.88600000000002</x:v>
      </x:c>
      <x:c r="M228" s="16" t="n">
        <x:f>IFERROR(L228/K228,0)</x:f>
        <x:v>0.2637348409649994</x:v>
      </x:c>
    </x:row>
    <x:row r="229">
      <x:c r="A229" t="str">
        <x:v>ORD-00228</x:v>
      </x:c>
      <x:c r="B229" s="10" t="n">
        <x:v>46058</x:v>
      </x:c>
      <x:c r="C229" t="str">
        <x:v>Southeast</x:v>
      </x:c>
      <x:c r="D229" t="str">
        <x:v>Office</x:v>
      </x:c>
      <x:c r="E229" t="str">
        <x:v>Office Chair</x:v>
      </x:c>
      <x:c r="F229" t="str">
        <x:v>Ana</x:v>
      </x:c>
      <x:c r="G229" t="n">
        <x:v>1</x:v>
      </x:c>
      <x:c r="H229" s="12" t="n">
        <x:v>221.71</x:v>
      </x:c>
      <x:c r="I229" s="14" t="n">
        <x:v>0.1</x:v>
      </x:c>
      <x:c r="J229" s="12" t="n">
        <x:v>131.55</x:v>
      </x:c>
      <x:c r="K229" s="12" t="n">
        <x:f>G229*H229*(1-I229)</x:f>
        <x:v>199.53900000000002</x:v>
      </x:c>
      <x:c r="L229" s="12" t="n">
        <x:f>K229-(G229*J229)</x:f>
        <x:v>67.989</x:v>
      </x:c>
      <x:c r="M229" s="16" t="n">
        <x:f>IFERROR(L229/K229,0)</x:f>
        <x:v>0.34073038353404594</x:v>
      </x:c>
    </x:row>
    <x:row r="230">
      <x:c r="A230" t="str">
        <x:v>ORD-00229</x:v>
      </x:c>
      <x:c r="B230" s="10" t="n">
        <x:v>46048</x:v>
      </x:c>
      <x:c r="C230" t="str">
        <x:v>South</x:v>
      </x:c>
      <x:c r="D230" t="str">
        <x:v>Home</x:v>
      </x:c>
      <x:c r="E230" t="str">
        <x:v>Air Purifier</x:v>
      </x:c>
      <x:c r="F230" t="str">
        <x:v>Diego</x:v>
      </x:c>
      <x:c r="G230" t="n">
        <x:v>3</x:v>
      </x:c>
      <x:c r="H230" s="12" t="n">
        <x:v>181.72</x:v>
      </x:c>
      <x:c r="I230" s="14" t="n">
        <x:v>0</x:v>
      </x:c>
      <x:c r="J230" s="12" t="n">
        <x:v>112.91</x:v>
      </x:c>
      <x:c r="K230" s="12" t="n">
        <x:f>G230*H230*(1-I230)</x:f>
        <x:v>545.16</x:v>
      </x:c>
      <x:c r="L230" s="12" t="n">
        <x:f>K230-(G230*J230)</x:f>
        <x:v>206.42999999999995</x:v>
      </x:c>
      <x:c r="M230" s="16" t="n">
        <x:f>IFERROR(L230/K230,0)</x:f>
        <x:v>0.37865947611710316</x:v>
      </x:c>
    </x:row>
    <x:row r="231">
      <x:c r="A231" t="str">
        <x:v>ORD-00230</x:v>
      </x:c>
      <x:c r="B231" s="10" t="n">
        <x:v>46190</x:v>
      </x:c>
      <x:c r="C231" t="str">
        <x:v>North</x:v>
      </x:c>
      <x:c r="D231" t="str">
        <x:v>Home</x:v>
      </x:c>
      <x:c r="E231" t="str">
        <x:v>Coffee Maker</x:v>
      </x:c>
      <x:c r="F231" t="str">
        <x:v>Ana</x:v>
      </x:c>
      <x:c r="G231" t="n">
        <x:v>4</x:v>
      </x:c>
      <x:c r="H231" s="12" t="n">
        <x:v>123.23</x:v>
      </x:c>
      <x:c r="I231" s="14" t="n">
        <x:v>0.1</x:v>
      </x:c>
      <x:c r="J231" s="12" t="n">
        <x:v>71.59</x:v>
      </x:c>
      <x:c r="K231" s="12" t="n">
        <x:f>G231*H231*(1-I231)</x:f>
        <x:v>443.62800000000004</x:v>
      </x:c>
      <x:c r="L231" s="12" t="n">
        <x:f>K231-(G231*J231)</x:f>
        <x:v>157.26800000000003</x:v>
      </x:c>
      <x:c r="M231" s="16" t="n">
        <x:f>IFERROR(L231/K231,0)</x:f>
        <x:v>0.3545042242599656</x:v>
      </x:c>
    </x:row>
    <x:row r="232">
      <x:c r="A232" t="str">
        <x:v>ORD-00231</x:v>
      </x:c>
      <x:c r="B232" s="10" t="n">
        <x:v>46255</x:v>
      </x:c>
      <x:c r="C232" t="str">
        <x:v>Midwest</x:v>
      </x:c>
      <x:c r="D232" t="str">
        <x:v>Office</x:v>
      </x:c>
      <x:c r="E232" t="str">
        <x:v>Desk Lamp</x:v>
      </x:c>
      <x:c r="F232" t="str">
        <x:v>Bruno</x:v>
      </x:c>
      <x:c r="G232" t="n">
        <x:v>1</x:v>
      </x:c>
      <x:c r="H232" s="12" t="n">
        <x:v>53.67</x:v>
      </x:c>
      <x:c r="I232" s="14" t="n">
        <x:v>0.15</x:v>
      </x:c>
      <x:c r="J232" s="12" t="n">
        <x:v>24.58</x:v>
      </x:c>
      <x:c r="K232" s="12" t="n">
        <x:f>G232*H232*(1-I232)</x:f>
        <x:v>45.6195</x:v>
      </x:c>
      <x:c r="L232" s="12" t="n">
        <x:f>K232-(G232*J232)</x:f>
        <x:v>21.039500000000004</x:v>
      </x:c>
      <x:c r="M232" s="16" t="n">
        <x:f>IFERROR(L232/K232,0)</x:f>
        <x:v>0.461195322175824</x:v>
      </x:c>
    </x:row>
    <x:row r="233">
      <x:c r="A233" t="str">
        <x:v>ORD-00232</x:v>
      </x:c>
      <x:c r="B233" s="10" t="n">
        <x:v>46262</x:v>
      </x:c>
      <x:c r="C233" t="str">
        <x:v>North</x:v>
      </x:c>
      <x:c r="D233" t="str">
        <x:v>Home</x:v>
      </x:c>
      <x:c r="E233" t="str">
        <x:v>Coffee Maker</x:v>
      </x:c>
      <x:c r="F233" t="str">
        <x:v>Ana</x:v>
      </x:c>
      <x:c r="G233" t="n">
        <x:v>3</x:v>
      </x:c>
      <x:c r="H233" s="12" t="n">
        <x:v>130.82</x:v>
      </x:c>
      <x:c r="I233" s="14" t="n">
        <x:v>0.2</x:v>
      </x:c>
      <x:c r="J233" s="12" t="n">
        <x:v>73.89</x:v>
      </x:c>
      <x:c r="K233" s="12" t="n">
        <x:f>G233*H233*(1-I233)</x:f>
        <x:v>313.968</x:v>
      </x:c>
      <x:c r="L233" s="12" t="n">
        <x:f>K233-(G233*J233)</x:f>
        <x:v>92.298</x:v>
      </x:c>
      <x:c r="M233" s="16" t="n">
        <x:f>IFERROR(L233/K233,0)</x:f>
        <x:v>0.2939726341537991</x:v>
      </x:c>
    </x:row>
    <x:row r="234">
      <x:c r="A234" t="str">
        <x:v>ORD-00233</x:v>
      </x:c>
      <x:c r="B234" s="10" t="n">
        <x:v>46025</x:v>
      </x:c>
      <x:c r="C234" t="str">
        <x:v>Southeast</x:v>
      </x:c>
      <x:c r="D234" t="str">
        <x:v>Technology</x:v>
      </x:c>
      <x:c r="E234" t="str">
        <x:v>Wireless Mouse</x:v>
      </x:c>
      <x:c r="F234" t="str">
        <x:v>Bruno</x:v>
      </x:c>
      <x:c r="G234" t="n">
        <x:v>5</x:v>
      </x:c>
      <x:c r="H234" s="12" t="n">
        <x:v>35.62</x:v>
      </x:c>
      <x:c r="I234" s="14" t="n">
        <x:v>0.05</x:v>
      </x:c>
      <x:c r="J234" s="12" t="n">
        <x:v>16.1</x:v>
      </x:c>
      <x:c r="K234" s="12" t="n">
        <x:f>G234*H234*(1-I234)</x:f>
        <x:v>169.195</x:v>
      </x:c>
      <x:c r="L234" s="12" t="n">
        <x:f>K234-(G234*J234)</x:f>
        <x:v>88.695</x:v>
      </x:c>
      <x:c r="M234" s="16" t="n">
        <x:f>IFERROR(L234/K234,0)</x:f>
        <x:v>0.5242176187239576</x:v>
      </x:c>
    </x:row>
    <x:row r="235">
      <x:c r="A235" t="str">
        <x:v>ORD-00234</x:v>
      </x:c>
      <x:c r="B235" s="10" t="n">
        <x:v>46240</x:v>
      </x:c>
      <x:c r="C235" t="str">
        <x:v>South</x:v>
      </x:c>
      <x:c r="D235" t="str">
        <x:v>Accessories</x:v>
      </x:c>
      <x:c r="E235" t="str">
        <x:v>USB-C Hub</x:v>
      </x:c>
      <x:c r="F235" t="str">
        <x:v>Felipe</x:v>
      </x:c>
      <x:c r="G235" t="n">
        <x:v>2</x:v>
      </x:c>
      <x:c r="H235" s="12" t="n">
        <x:v>71.81</x:v>
      </x:c>
      <x:c r="I235" s="14" t="n">
        <x:v>0</x:v>
      </x:c>
      <x:c r="J235" s="12" t="n">
        <x:v>32.4</x:v>
      </x:c>
      <x:c r="K235" s="12" t="n">
        <x:f>G235*H235*(1-I235)</x:f>
        <x:v>143.62</x:v>
      </x:c>
      <x:c r="L235" s="12" t="n">
        <x:f>K235-(G235*J235)</x:f>
        <x:v>78.82000000000001</x:v>
      </x:c>
      <x:c r="M235" s="16" t="n">
        <x:f>IFERROR(L235/K235,0)</x:f>
        <x:v>0.5488093580281298</x:v>
      </x:c>
    </x:row>
    <x:row r="236">
      <x:c r="A236" t="str">
        <x:v>ORD-00235</x:v>
      </x:c>
      <x:c r="B236" s="10" t="n">
        <x:v>46070</x:v>
      </x:c>
      <x:c r="C236" t="str">
        <x:v>Southeast</x:v>
      </x:c>
      <x:c r="D236" t="str">
        <x:v>Accessories</x:v>
      </x:c>
      <x:c r="E236" t="str">
        <x:v>Backpack</x:v>
      </x:c>
      <x:c r="F236" t="str">
        <x:v>Diego</x:v>
      </x:c>
      <x:c r="G236" t="n">
        <x:v>4</x:v>
      </x:c>
      <x:c r="H236" s="12" t="n">
        <x:v>88.15</x:v>
      </x:c>
      <x:c r="I236" s="14" t="n">
        <x:v>0</x:v>
      </x:c>
      <x:c r="J236" s="12" t="n">
        <x:v>43.04</x:v>
      </x:c>
      <x:c r="K236" s="12" t="n">
        <x:f>G236*H236*(1-I236)</x:f>
        <x:v>352.6</x:v>
      </x:c>
      <x:c r="L236" s="12" t="n">
        <x:f>K236-(G236*J236)</x:f>
        <x:v>180.44000000000003</x:v>
      </x:c>
      <x:c r="M236" s="16" t="n">
        <x:f>IFERROR(L236/K236,0)</x:f>
        <x:v>0.5117413499716393</x:v>
      </x:c>
    </x:row>
    <x:row r="237">
      <x:c r="A237" t="str">
        <x:v>ORD-00236</x:v>
      </x:c>
      <x:c r="B237" s="10" t="n">
        <x:v>46154</x:v>
      </x:c>
      <x:c r="C237" t="str">
        <x:v>Southeast</x:v>
      </x:c>
      <x:c r="D237" t="str">
        <x:v>Home</x:v>
      </x:c>
      <x:c r="E237" t="str">
        <x:v>Smart Lamp</x:v>
      </x:c>
      <x:c r="F237" t="str">
        <x:v>Bruno</x:v>
      </x:c>
      <x:c r="G237" t="n">
        <x:v>2</x:v>
      </x:c>
      <x:c r="H237" s="12" t="n">
        <x:v>63.22</x:v>
      </x:c>
      <x:c r="I237" s="14" t="n">
        <x:v>0</x:v>
      </x:c>
      <x:c r="J237" s="12" t="n">
        <x:v>28.89</x:v>
      </x:c>
      <x:c r="K237" s="12" t="n">
        <x:f>G237*H237*(1-I237)</x:f>
        <x:v>126.44</x:v>
      </x:c>
      <x:c r="L237" s="12" t="n">
        <x:f>K237-(G237*J237)</x:f>
        <x:v>68.66</x:v>
      </x:c>
      <x:c r="M237" s="16" t="n">
        <x:f>IFERROR(L237/K237,0)</x:f>
        <x:v>0.5430243593799431</x:v>
      </x:c>
    </x:row>
    <x:row r="238">
      <x:c r="A238" t="str">
        <x:v>ORD-00237</x:v>
      </x:c>
      <x:c r="B238" s="10" t="n">
        <x:v>46024</x:v>
      </x:c>
      <x:c r="C238" t="str">
        <x:v>Southeast</x:v>
      </x:c>
      <x:c r="D238" t="str">
        <x:v>Office</x:v>
      </x:c>
      <x:c r="E238" t="str">
        <x:v>Standing Desk</x:v>
      </x:c>
      <x:c r="F238" t="str">
        <x:v>Ana</x:v>
      </x:c>
      <x:c r="G238" t="n">
        <x:v>5</x:v>
      </x:c>
      <x:c r="H238" s="12" t="n">
        <x:v>414.61</x:v>
      </x:c>
      <x:c r="I238" s="14" t="n">
        <x:v>0.2</x:v>
      </x:c>
      <x:c r="J238" s="12" t="n">
        <x:v>274.36</x:v>
      </x:c>
      <x:c r="K238" s="12" t="n">
        <x:f>G238*H238*(1-I238)</x:f>
        <x:v>1658.4400000000003</x:v>
      </x:c>
      <x:c r="L238" s="12" t="n">
        <x:f>K238-(G238*J238)</x:f>
        <x:v>286.6400000000001</x:v>
      </x:c>
      <x:c r="M238" s="16" t="n">
        <x:f>IFERROR(L238/K238,0)</x:f>
        <x:v>0.17283712404428261</x:v>
      </x:c>
    </x:row>
    <x:row r="239">
      <x:c r="A239" t="str">
        <x:v>ORD-00238</x:v>
      </x:c>
      <x:c r="B239" s="10" t="n">
        <x:v>46089</x:v>
      </x:c>
      <x:c r="C239" t="str">
        <x:v>Northeast</x:v>
      </x:c>
      <x:c r="D239" t="str">
        <x:v>Office</x:v>
      </x:c>
      <x:c r="E239" t="str">
        <x:v>Office Chair</x:v>
      </x:c>
      <x:c r="F239" t="str">
        <x:v>Felipe</x:v>
      </x:c>
      <x:c r="G239" t="n">
        <x:v>2</x:v>
      </x:c>
      <x:c r="H239" s="12" t="n">
        <x:v>214.36</x:v>
      </x:c>
      <x:c r="I239" s="14" t="n">
        <x:v>0.05</x:v>
      </x:c>
      <x:c r="J239" s="12" t="n">
        <x:v>131.86</x:v>
      </x:c>
      <x:c r="K239" s="12" t="n">
        <x:f>G239*H239*(1-I239)</x:f>
        <x:v>407.284</x:v>
      </x:c>
      <x:c r="L239" s="12" t="n">
        <x:f>K239-(G239*J239)</x:f>
        <x:v>143.56399999999996</x:v>
      </x:c>
      <x:c r="M239" s="16" t="n">
        <x:f>IFERROR(L239/K239,0)</x:f>
        <x:v>0.35249113640604585</x:v>
      </x:c>
    </x:row>
    <x:row r="240">
      <x:c r="A240" t="str">
        <x:v>ORD-00239</x:v>
      </x:c>
      <x:c r="B240" s="10" t="n">
        <x:v>46220</x:v>
      </x:c>
      <x:c r="C240" t="str">
        <x:v>Southeast</x:v>
      </x:c>
      <x:c r="D240" t="str">
        <x:v>Technology</x:v>
      </x:c>
      <x:c r="E240" t="str">
        <x:v>Monitor 27</x:v>
      </x:c>
      <x:c r="F240" t="str">
        <x:v>Diego</x:v>
      </x:c>
      <x:c r="G240" t="n">
        <x:v>5</x:v>
      </x:c>
      <x:c r="H240" s="12" t="n">
        <x:v>284.16</x:v>
      </x:c>
      <x:c r="I240" s="14" t="n">
        <x:v>0.05</x:v>
      </x:c>
      <x:c r="J240" s="12" t="n">
        <x:v>185.02</x:v>
      </x:c>
      <x:c r="K240" s="12" t="n">
        <x:f>G240*H240*(1-I240)</x:f>
        <x:v>1349.7600000000002</x:v>
      </x:c>
      <x:c r="L240" s="12" t="n">
        <x:f>K240-(G240*J240)</x:f>
        <x:v>424.6600000000002</x:v>
      </x:c>
      <x:c r="M240" s="16" t="n">
        <x:f>IFERROR(L240/K240,0)</x:f>
        <x:v>0.31461889521100056</x:v>
      </x:c>
    </x:row>
    <x:row r="241">
      <x:c r="A241" t="str">
        <x:v>ORD-00240</x:v>
      </x:c>
      <x:c r="B241" s="10" t="n">
        <x:v>46062</x:v>
      </x:c>
      <x:c r="C241" t="str">
        <x:v>South</x:v>
      </x:c>
      <x:c r="D241" t="str">
        <x:v>Accessories</x:v>
      </x:c>
      <x:c r="E241" t="str">
        <x:v>Backpack</x:v>
      </x:c>
      <x:c r="F241" t="str">
        <x:v>Bruno</x:v>
      </x:c>
      <x:c r="G241" t="n">
        <x:v>8</x:v>
      </x:c>
      <x:c r="H241" s="12" t="n">
        <x:v>87.74</x:v>
      </x:c>
      <x:c r="I241" s="14" t="n">
        <x:v>0.1</x:v>
      </x:c>
      <x:c r="J241" s="12" t="n">
        <x:v>42.89</x:v>
      </x:c>
      <x:c r="K241" s="12" t="n">
        <x:f>G241*H241*(1-I241)</x:f>
        <x:v>631.728</x:v>
      </x:c>
      <x:c r="L241" s="12" t="n">
        <x:f>K241-(G241*J241)</x:f>
        <x:v>288.60799999999995</x:v>
      </x:c>
      <x:c r="M241" s="16" t="n">
        <x:f>IFERROR(L241/K241,0)</x:f>
        <x:v>0.456854848922321</x:v>
      </x:c>
    </x:row>
    <x:row r="242">
      <x:c r="A242" t="str">
        <x:v>ORD-00241</x:v>
      </x:c>
      <x:c r="B242" s="10" t="n">
        <x:v>46197</x:v>
      </x:c>
      <x:c r="C242" t="str">
        <x:v>Midwest</x:v>
      </x:c>
      <x:c r="D242" t="str">
        <x:v>Technology</x:v>
      </x:c>
      <x:c r="E242" t="str">
        <x:v>Monitor 27</x:v>
      </x:c>
      <x:c r="F242" t="str">
        <x:v>Ana</x:v>
      </x:c>
      <x:c r="G242" t="n">
        <x:v>8</x:v>
      </x:c>
      <x:c r="H242" s="12" t="n">
        <x:v>287.84</x:v>
      </x:c>
      <x:c r="I242" s="14" t="n">
        <x:v>0.05</x:v>
      </x:c>
      <x:c r="J242" s="12" t="n">
        <x:v>184.66</x:v>
      </x:c>
      <x:c r="K242" s="12" t="n">
        <x:f>G242*H242*(1-I242)</x:f>
        <x:v>2187.584</x:v>
      </x:c>
      <x:c r="L242" s="12" t="n">
        <x:f>K242-(G242*J242)</x:f>
        <x:v>710.3039999999999</x:v>
      </x:c>
      <x:c r="M242" s="16" t="n">
        <x:f>IFERROR(L242/K242,0)</x:f>
        <x:v>0.32469793159942656</x:v>
      </x:c>
    </x:row>
    <x:row r="243">
      <x:c r="A243" t="str">
        <x:v>ORD-00242</x:v>
      </x:c>
      <x:c r="B243" s="10" t="n">
        <x:v>46038</x:v>
      </x:c>
      <x:c r="C243" t="str">
        <x:v>Midwest</x:v>
      </x:c>
      <x:c r="D243" t="str">
        <x:v>Office</x:v>
      </x:c>
      <x:c r="E243" t="str">
        <x:v>Desk Lamp</x:v>
      </x:c>
      <x:c r="F243" t="str">
        <x:v>Felipe</x:v>
      </x:c>
      <x:c r="G243" t="n">
        <x:v>3</x:v>
      </x:c>
      <x:c r="H243" s="12" t="n">
        <x:v>57.03</x:v>
      </x:c>
      <x:c r="I243" s="14" t="n">
        <x:v>0</x:v>
      </x:c>
      <x:c r="J243" s="12" t="n">
        <x:v>24.05</x:v>
      </x:c>
      <x:c r="K243" s="12" t="n">
        <x:f>G243*H243*(1-I243)</x:f>
        <x:v>171.09</x:v>
      </x:c>
      <x:c r="L243" s="12" t="n">
        <x:f>K243-(G243*J243)</x:f>
        <x:v>98.94</x:v>
      </x:c>
      <x:c r="M243" s="16" t="n">
        <x:f>IFERROR(L243/K243,0)</x:f>
        <x:v>0.5782921269507276</x:v>
      </x:c>
    </x:row>
    <x:row r="244">
      <x:c r="A244" t="str">
        <x:v>ORD-00243</x:v>
      </x:c>
      <x:c r="B244" s="10" t="n">
        <x:v>46075</x:v>
      </x:c>
      <x:c r="C244" t="str">
        <x:v>Northeast</x:v>
      </x:c>
      <x:c r="D244" t="str">
        <x:v>Home</x:v>
      </x:c>
      <x:c r="E244" t="str">
        <x:v>Air Purifier</x:v>
      </x:c>
      <x:c r="F244" t="str">
        <x:v>Diego</x:v>
      </x:c>
      <x:c r="G244" t="n">
        <x:v>8</x:v>
      </x:c>
      <x:c r="H244" s="12" t="n">
        <x:v>180.15</x:v>
      </x:c>
      <x:c r="I244" s="14" t="n">
        <x:v>0.15</x:v>
      </x:c>
      <x:c r="J244" s="12" t="n">
        <x:v>110.62</x:v>
      </x:c>
      <x:c r="K244" s="12" t="n">
        <x:f>G244*H244*(1-I244)</x:f>
        <x:v>1225.02</x:v>
      </x:c>
      <x:c r="L244" s="12" t="n">
        <x:f>K244-(G244*J244)</x:f>
        <x:v>340.05999999999995</x:v>
      </x:c>
      <x:c r="M244" s="16" t="n">
        <x:f>IFERROR(L244/K244,0)</x:f>
        <x:v>0.2775954678290966</x:v>
      </x:c>
    </x:row>
    <x:row r="245">
      <x:c r="A245" t="str">
        <x:v>ORD-00244</x:v>
      </x:c>
      <x:c r="B245" s="10" t="n">
        <x:v>46167</x:v>
      </x:c>
      <x:c r="C245" t="str">
        <x:v>Southeast</x:v>
      </x:c>
      <x:c r="D245" t="str">
        <x:v>Home</x:v>
      </x:c>
      <x:c r="E245" t="str">
        <x:v>Smart Lamp</x:v>
      </x:c>
      <x:c r="F245" t="str">
        <x:v>Felipe</x:v>
      </x:c>
      <x:c r="G245" t="n">
        <x:v>5</x:v>
      </x:c>
      <x:c r="H245" s="12" t="n">
        <x:v>64.72</x:v>
      </x:c>
      <x:c r="I245" s="14" t="n">
        <x:v>0.1</x:v>
      </x:c>
      <x:c r="J245" s="12" t="n">
        <x:v>29.6</x:v>
      </x:c>
      <x:c r="K245" s="12" t="n">
        <x:f>G245*H245*(1-I245)</x:f>
        <x:v>291.24</x:v>
      </x:c>
      <x:c r="L245" s="12" t="n">
        <x:f>K245-(G245*J245)</x:f>
        <x:v>143.24</x:v>
      </x:c>
      <x:c r="M245" s="16" t="n">
        <x:f>IFERROR(L245/K245,0)</x:f>
        <x:v>0.49182804559813215</x:v>
      </x:c>
    </x:row>
    <x:row r="246">
      <x:c r="A246" t="str">
        <x:v>ORD-00245</x:v>
      </x:c>
      <x:c r="B246" s="10" t="n">
        <x:v>46078</x:v>
      </x:c>
      <x:c r="C246" t="str">
        <x:v>Northeast</x:v>
      </x:c>
      <x:c r="D246" t="str">
        <x:v>Technology</x:v>
      </x:c>
      <x:c r="E246" t="str">
        <x:v>Wireless Mouse</x:v>
      </x:c>
      <x:c r="F246" t="str">
        <x:v>Ana</x:v>
      </x:c>
      <x:c r="G246" t="n">
        <x:v>6</x:v>
      </x:c>
      <x:c r="H246" s="12" t="n">
        <x:v>35.3</x:v>
      </x:c>
      <x:c r="I246" s="14" t="n">
        <x:v>0.1</x:v>
      </x:c>
      <x:c r="J246" s="12" t="n">
        <x:v>15.73</x:v>
      </x:c>
      <x:c r="K246" s="12" t="n">
        <x:f>G246*H246*(1-I246)</x:f>
        <x:v>190.61999999999998</x:v>
      </x:c>
      <x:c r="L246" s="12" t="n">
        <x:f>K246-(G246*J246)</x:f>
        <x:v>96.23999999999998</x:v>
      </x:c>
      <x:c r="M246" s="16" t="n">
        <x:f>IFERROR(L246/K246,0)</x:f>
        <x:v>0.5048788164935474</x:v>
      </x:c>
    </x:row>
    <x:row r="247">
      <x:c r="A247" t="str">
        <x:v>ORD-00246</x:v>
      </x:c>
      <x:c r="B247" s="10" t="n">
        <x:v>46262</x:v>
      </x:c>
      <x:c r="C247" t="str">
        <x:v>South</x:v>
      </x:c>
      <x:c r="D247" t="str">
        <x:v>Accessories</x:v>
      </x:c>
      <x:c r="E247" t="str">
        <x:v>Backpack</x:v>
      </x:c>
      <x:c r="F247" t="str">
        <x:v>Felipe</x:v>
      </x:c>
      <x:c r="G247" t="n">
        <x:v>3</x:v>
      </x:c>
      <x:c r="H247" s="12" t="n">
        <x:v>87.46</x:v>
      </x:c>
      <x:c r="I247" s="14" t="n">
        <x:v>0.1</x:v>
      </x:c>
      <x:c r="J247" s="12" t="n">
        <x:v>43.21</x:v>
      </x:c>
      <x:c r="K247" s="12" t="n">
        <x:f>G247*H247*(1-I247)</x:f>
        <x:v>236.142</x:v>
      </x:c>
      <x:c r="L247" s="12" t="n">
        <x:f>K247-(G247*J247)</x:f>
        <x:v>106.512</x:v>
      </x:c>
      <x:c r="M247" s="16" t="n">
        <x:f>IFERROR(L247/K247,0)</x:f>
        <x:v>0.4510506390222832</x:v>
      </x:c>
    </x:row>
    <x:row r="248">
      <x:c r="A248" t="str">
        <x:v>ORD-00247</x:v>
      </x:c>
      <x:c r="B248" s="10" t="n">
        <x:v>46130</x:v>
      </x:c>
      <x:c r="C248" t="str">
        <x:v>South</x:v>
      </x:c>
      <x:c r="D248" t="str">
        <x:v>Home</x:v>
      </x:c>
      <x:c r="E248" t="str">
        <x:v>Coffee Maker</x:v>
      </x:c>
      <x:c r="F248" t="str">
        <x:v>Elisa</x:v>
      </x:c>
      <x:c r="G248" t="n">
        <x:v>7</x:v>
      </x:c>
      <x:c r="H248" s="12" t="n">
        <x:v>127.68</x:v>
      </x:c>
      <x:c r="I248" s="14" t="n">
        <x:v>0.05</x:v>
      </x:c>
      <x:c r="J248" s="12" t="n">
        <x:v>72.94</x:v>
      </x:c>
      <x:c r="K248" s="12" t="n">
        <x:f>G248*H248*(1-I248)</x:f>
        <x:v>849.072</x:v>
      </x:c>
      <x:c r="L248" s="12" t="n">
        <x:f>K248-(G248*J248)</x:f>
        <x:v>338.492</x:v>
      </x:c>
      <x:c r="M248" s="16" t="n">
        <x:f>IFERROR(L248/K248,0)</x:f>
        <x:v>0.3986611265004617</x:v>
      </x:c>
    </x:row>
    <x:row r="249">
      <x:c r="A249" t="str">
        <x:v>ORD-00248</x:v>
      </x:c>
      <x:c r="B249" s="10" t="n">
        <x:v>46057</x:v>
      </x:c>
      <x:c r="C249" t="str">
        <x:v>Northeast</x:v>
      </x:c>
      <x:c r="D249" t="str">
        <x:v>Accessories</x:v>
      </x:c>
      <x:c r="E249" t="str">
        <x:v>USB-C Hub</x:v>
      </x:c>
      <x:c r="F249" t="str">
        <x:v>Bruno</x:v>
      </x:c>
      <x:c r="G249" t="n">
        <x:v>3</x:v>
      </x:c>
      <x:c r="H249" s="12" t="n">
        <x:v>69.68</x:v>
      </x:c>
      <x:c r="I249" s="14" t="n">
        <x:v>0.2</x:v>
      </x:c>
      <x:c r="J249" s="12" t="n">
        <x:v>31.56</x:v>
      </x:c>
      <x:c r="K249" s="12" t="n">
        <x:f>G249*H249*(1-I249)</x:f>
        <x:v>167.23200000000003</x:v>
      </x:c>
      <x:c r="L249" s="12" t="n">
        <x:f>K249-(G249*J249)</x:f>
        <x:v>72.55200000000004</x:v>
      </x:c>
      <x:c r="M249" s="16" t="n">
        <x:f>IFERROR(L249/K249,0)</x:f>
        <x:v>0.4338404133180254</x:v>
      </x:c>
    </x:row>
    <x:row r="250">
      <x:c r="A250" t="str">
        <x:v>ORD-00249</x:v>
      </x:c>
      <x:c r="B250" s="10" t="n">
        <x:v>46236</x:v>
      </x:c>
      <x:c r="C250" t="str">
        <x:v>Southeast</x:v>
      </x:c>
      <x:c r="D250" t="str">
        <x:v>Technology</x:v>
      </x:c>
      <x:c r="E250" t="str">
        <x:v>Wireless Mouse</x:v>
      </x:c>
      <x:c r="F250" t="str">
        <x:v>Bruno</x:v>
      </x:c>
      <x:c r="G250" t="n">
        <x:v>8</x:v>
      </x:c>
      <x:c r="H250" s="12" t="n">
        <x:v>35.32</x:v>
      </x:c>
      <x:c r="I250" s="14" t="n">
        <x:v>0.1</x:v>
      </x:c>
      <x:c r="J250" s="12" t="n">
        <x:v>16.11</x:v>
      </x:c>
      <x:c r="K250" s="12" t="n">
        <x:f>G250*H250*(1-I250)</x:f>
        <x:v>254.304</x:v>
      </x:c>
      <x:c r="L250" s="12" t="n">
        <x:f>K250-(G250*J250)</x:f>
        <x:v>125.424</x:v>
      </x:c>
      <x:c r="M250" s="16" t="n">
        <x:f>IFERROR(L250/K250,0)</x:f>
        <x:v>0.4932049830124576</x:v>
      </x:c>
    </x:row>
    <x:row r="251">
      <x:c r="A251" t="str">
        <x:v>ORD-00250</x:v>
      </x:c>
      <x:c r="B251" s="10" t="n">
        <x:v>46086</x:v>
      </x:c>
      <x:c r="C251" t="str">
        <x:v>South</x:v>
      </x:c>
      <x:c r="D251" t="str">
        <x:v>Office</x:v>
      </x:c>
      <x:c r="E251" t="str">
        <x:v>Standing Desk</x:v>
      </x:c>
      <x:c r="F251" t="str">
        <x:v>Felipe</x:v>
      </x:c>
      <x:c r="G251" t="n">
        <x:v>4</x:v>
      </x:c>
      <x:c r="H251" s="12" t="n">
        <x:v>430.61</x:v>
      </x:c>
      <x:c r="I251" s="14" t="n">
        <x:v>0.2</x:v>
      </x:c>
      <x:c r="J251" s="12" t="n">
        <x:v>266.12</x:v>
      </x:c>
      <x:c r="K251" s="12" t="n">
        <x:f>G251*H251*(1-I251)</x:f>
        <x:v>1377.9520000000002</x:v>
      </x:c>
      <x:c r="L251" s="12" t="n">
        <x:f>K251-(G251*J251)</x:f>
        <x:v>313.4720000000002</x:v>
      </x:c>
      <x:c r="M251" s="16" t="n">
        <x:f>IFERROR(L251/K251,0)</x:f>
        <x:v>0.22749123336661956</x:v>
      </x:c>
    </x:row>
    <x:row r="252">
      <x:c r="A252" t="str">
        <x:v>ORD-00251</x:v>
      </x:c>
      <x:c r="B252" s="10" t="n">
        <x:v>46130</x:v>
      </x:c>
      <x:c r="C252" t="str">
        <x:v>Northeast</x:v>
      </x:c>
      <x:c r="D252" t="str">
        <x:v>Technology</x:v>
      </x:c>
      <x:c r="E252" t="str">
        <x:v>Laptop Pro</x:v>
      </x:c>
      <x:c r="F252" t="str">
        <x:v>Felipe</x:v>
      </x:c>
      <x:c r="G252" t="n">
        <x:v>4</x:v>
      </x:c>
      <x:c r="H252" s="12" t="n">
        <x:v>1216.15</x:v>
      </x:c>
      <x:c r="I252" s="14" t="n">
        <x:v>0</x:v>
      </x:c>
      <x:c r="J252" s="12" t="n">
        <x:v>851.97</x:v>
      </x:c>
      <x:c r="K252" s="12" t="n">
        <x:f>G252*H252*(1-I252)</x:f>
        <x:v>4864.6</x:v>
      </x:c>
      <x:c r="L252" s="12" t="n">
        <x:f>K252-(G252*J252)</x:f>
        <x:v>1456.7200000000003</x:v>
      </x:c>
      <x:c r="M252" s="16" t="n">
        <x:f>IFERROR(L252/K252,0)</x:f>
        <x:v>0.2994531924515891</x:v>
      </x:c>
    </x:row>
    <x:row r="253">
      <x:c r="A253" t="str">
        <x:v>ORD-00252</x:v>
      </x:c>
      <x:c r="B253" s="10" t="n">
        <x:v>46203</x:v>
      </x:c>
      <x:c r="C253" t="str">
        <x:v>Midwest</x:v>
      </x:c>
      <x:c r="D253" t="str">
        <x:v>Office</x:v>
      </x:c>
      <x:c r="E253" t="str">
        <x:v>Desk Lamp</x:v>
      </x:c>
      <x:c r="F253" t="str">
        <x:v>Ana</x:v>
      </x:c>
      <x:c r="G253" t="n">
        <x:v>1</x:v>
      </x:c>
      <x:c r="H253" s="12" t="n">
        <x:v>53.96</x:v>
      </x:c>
      <x:c r="I253" s="14" t="n">
        <x:v>0.05</x:v>
      </x:c>
      <x:c r="J253" s="12" t="n">
        <x:v>23.78</x:v>
      </x:c>
      <x:c r="K253" s="12" t="n">
        <x:f>G253*H253*(1-I253)</x:f>
        <x:v>51.262</x:v>
      </x:c>
      <x:c r="L253" s="12" t="n">
        <x:f>K253-(G253*J253)</x:f>
        <x:v>27.482</x:v>
      </x:c>
      <x:c r="M253" s="16" t="n">
        <x:f>IFERROR(L253/K253,0)</x:f>
        <x:v>0.5361086184698217</x:v>
      </x:c>
    </x:row>
    <x:row r="254">
      <x:c r="A254" t="str">
        <x:v>ORD-00253</x:v>
      </x:c>
      <x:c r="B254" s="10" t="n">
        <x:v>46058</x:v>
      </x:c>
      <x:c r="C254" t="str">
        <x:v>South</x:v>
      </x:c>
      <x:c r="D254" t="str">
        <x:v>Accessories</x:v>
      </x:c>
      <x:c r="E254" t="str">
        <x:v>USB-C Hub</x:v>
      </x:c>
      <x:c r="F254" t="str">
        <x:v>Bruno</x:v>
      </x:c>
      <x:c r="G254" t="n">
        <x:v>6</x:v>
      </x:c>
      <x:c r="H254" s="12" t="n">
        <x:v>72.07</x:v>
      </x:c>
      <x:c r="I254" s="14" t="n">
        <x:v>0.05</x:v>
      </x:c>
      <x:c r="J254" s="12" t="n">
        <x:v>32.67</x:v>
      </x:c>
      <x:c r="K254" s="12" t="n">
        <x:f>G254*H254*(1-I254)</x:f>
        <x:v>410.7989999999999</x:v>
      </x:c>
      <x:c r="L254" s="12" t="n">
        <x:f>K254-(G254*J254)</x:f>
        <x:v>214.7789999999999</x:v>
      </x:c>
      <x:c r="M254" s="16" t="n">
        <x:f>IFERROR(L254/K254,0)</x:f>
        <x:v>0.5228323340611831</x:v>
      </x:c>
    </x:row>
    <x:row r="255">
      <x:c r="A255" t="str">
        <x:v>ORD-00254</x:v>
      </x:c>
      <x:c r="B255" s="10" t="n">
        <x:v>46100</x:v>
      </x:c>
      <x:c r="C255" t="str">
        <x:v>Midwest</x:v>
      </x:c>
      <x:c r="D255" t="str">
        <x:v>Office</x:v>
      </x:c>
      <x:c r="E255" t="str">
        <x:v>Standing Desk</x:v>
      </x:c>
      <x:c r="F255" t="str">
        <x:v>Felipe</x:v>
      </x:c>
      <x:c r="G255" t="n">
        <x:v>5</x:v>
      </x:c>
      <x:c r="H255" s="12" t="n">
        <x:v>424.24</x:v>
      </x:c>
      <x:c r="I255" s="14" t="n">
        <x:v>0</x:v>
      </x:c>
      <x:c r="J255" s="12" t="n">
        <x:v>272.59</x:v>
      </x:c>
      <x:c r="K255" s="12" t="n">
        <x:f>G255*H255*(1-I255)</x:f>
        <x:v>2121.2</x:v>
      </x:c>
      <x:c r="L255" s="12" t="n">
        <x:f>K255-(G255*J255)</x:f>
        <x:v>758.25</x:v>
      </x:c>
      <x:c r="M255" s="16" t="n">
        <x:f>IFERROR(L255/K255,0)</x:f>
        <x:v>0.35746275693003965</x:v>
      </x:c>
    </x:row>
    <x:row r="256">
      <x:c r="A256" t="str">
        <x:v>ORD-00255</x:v>
      </x:c>
      <x:c r="B256" s="10" t="n">
        <x:v>46256</x:v>
      </x:c>
      <x:c r="C256" t="str">
        <x:v>Southeast</x:v>
      </x:c>
      <x:c r="D256" t="str">
        <x:v>Home</x:v>
      </x:c>
      <x:c r="E256" t="str">
        <x:v>Smart Lamp</x:v>
      </x:c>
      <x:c r="F256" t="str">
        <x:v>Diego</x:v>
      </x:c>
      <x:c r="G256" t="n">
        <x:v>8</x:v>
      </x:c>
      <x:c r="H256" s="12" t="n">
        <x:v>64.41</x:v>
      </x:c>
      <x:c r="I256" s="14" t="n">
        <x:v>0</x:v>
      </x:c>
      <x:c r="J256" s="12" t="n">
        <x:v>29.35</x:v>
      </x:c>
      <x:c r="K256" s="12" t="n">
        <x:f>G256*H256*(1-I256)</x:f>
        <x:v>515.28</x:v>
      </x:c>
      <x:c r="L256" s="12" t="n">
        <x:f>K256-(G256*J256)</x:f>
        <x:v>280.47999999999996</x:v>
      </x:c>
      <x:c r="M256" s="16" t="n">
        <x:f>IFERROR(L256/K256,0)</x:f>
        <x:v>0.5443254153081819</x:v>
      </x:c>
    </x:row>
    <x:row r="257">
      <x:c r="A257" t="str">
        <x:v>ORD-00256</x:v>
      </x:c>
      <x:c r="B257" s="10" t="n">
        <x:v>46224</x:v>
      </x:c>
      <x:c r="C257" t="str">
        <x:v>South</x:v>
      </x:c>
      <x:c r="D257" t="str">
        <x:v>Home</x:v>
      </x:c>
      <x:c r="E257" t="str">
        <x:v>Coffee Maker</x:v>
      </x:c>
      <x:c r="F257" t="str">
        <x:v>Bruno</x:v>
      </x:c>
      <x:c r="G257" t="n">
        <x:v>3</x:v>
      </x:c>
      <x:c r="H257" s="12" t="n">
        <x:v>122.07</x:v>
      </x:c>
      <x:c r="I257" s="14" t="n">
        <x:v>0</x:v>
      </x:c>
      <x:c r="J257" s="12" t="n">
        <x:v>72.5</x:v>
      </x:c>
      <x:c r="K257" s="12" t="n">
        <x:f>G257*H257*(1-I257)</x:f>
        <x:v>366.21</x:v>
      </x:c>
      <x:c r="L257" s="12" t="n">
        <x:f>K257-(G257*J257)</x:f>
        <x:v>148.70999999999998</x:v>
      </x:c>
      <x:c r="M257" s="16" t="n">
        <x:f>IFERROR(L257/K257,0)</x:f>
        <x:v>0.40607847956090765</x:v>
      </x:c>
    </x:row>
    <x:row r="258">
      <x:c r="A258" t="str">
        <x:v>ORD-00257</x:v>
      </x:c>
      <x:c r="B258" s="10" t="n">
        <x:v>46240</x:v>
      </x:c>
      <x:c r="C258" t="str">
        <x:v>Southeast</x:v>
      </x:c>
      <x:c r="D258" t="str">
        <x:v>Office</x:v>
      </x:c>
      <x:c r="E258" t="str">
        <x:v>Standing Desk</x:v>
      </x:c>
      <x:c r="F258" t="str">
        <x:v>Bruno</x:v>
      </x:c>
      <x:c r="G258" t="n">
        <x:v>1</x:v>
      </x:c>
      <x:c r="H258" s="12" t="n">
        <x:v>439.78</x:v>
      </x:c>
      <x:c r="I258" s="14" t="n">
        <x:v>0.05</x:v>
      </x:c>
      <x:c r="J258" s="12" t="n">
        <x:v>272.12</x:v>
      </x:c>
      <x:c r="K258" s="12" t="n">
        <x:f>G258*H258*(1-I258)</x:f>
        <x:v>417.79099999999994</x:v>
      </x:c>
      <x:c r="L258" s="12" t="n">
        <x:f>K258-(G258*J258)</x:f>
        <x:v>145.67099999999994</x:v>
      </x:c>
      <x:c r="M258" s="16" t="n">
        <x:f>IFERROR(L258/K258,0)</x:f>
        <x:v>0.3486695500860477</x:v>
      </x:c>
    </x:row>
    <x:row r="259">
      <x:c r="A259" t="str">
        <x:v>ORD-00258</x:v>
      </x:c>
      <x:c r="B259" s="10" t="n">
        <x:v>46122</x:v>
      </x:c>
      <x:c r="C259" t="str">
        <x:v>Southeast</x:v>
      </x:c>
      <x:c r="D259" t="str">
        <x:v>Office</x:v>
      </x:c>
      <x:c r="E259" t="str">
        <x:v>Standing Desk</x:v>
      </x:c>
      <x:c r="F259" t="str">
        <x:v>Felipe</x:v>
      </x:c>
      <x:c r="G259" t="n">
        <x:v>2</x:v>
      </x:c>
      <x:c r="H259" s="12" t="n">
        <x:v>435.22</x:v>
      </x:c>
      <x:c r="I259" s="14" t="n">
        <x:v>0.2</x:v>
      </x:c>
      <x:c r="J259" s="12" t="n">
        <x:v>265.85</x:v>
      </x:c>
      <x:c r="K259" s="12" t="n">
        <x:f>G259*H259*(1-I259)</x:f>
        <x:v>696.3520000000001</x:v>
      </x:c>
      <x:c r="L259" s="12" t="n">
        <x:f>K259-(G259*J259)</x:f>
        <x:v>164.65200000000004</x:v>
      </x:c>
      <x:c r="M259" s="16" t="n">
        <x:f>IFERROR(L259/K259,0)</x:f>
        <x:v>0.23644938192178672</x:v>
      </x:c>
    </x:row>
    <x:row r="260">
      <x:c r="A260" t="str">
        <x:v>ORD-00259</x:v>
      </x:c>
      <x:c r="B260" s="10" t="n">
        <x:v>46235</x:v>
      </x:c>
      <x:c r="C260" t="str">
        <x:v>Southeast</x:v>
      </x:c>
      <x:c r="D260" t="str">
        <x:v>Accessories</x:v>
      </x:c>
      <x:c r="E260" t="str">
        <x:v>Backpack</x:v>
      </x:c>
      <x:c r="F260" t="str">
        <x:v>Felipe</x:v>
      </x:c>
      <x:c r="G260" t="n">
        <x:v>1</x:v>
      </x:c>
      <x:c r="H260" s="12" t="n">
        <x:v>83.04</x:v>
      </x:c>
      <x:c r="I260" s="14" t="n">
        <x:v>0.15</x:v>
      </x:c>
      <x:c r="J260" s="12" t="n">
        <x:v>42.76</x:v>
      </x:c>
      <x:c r="K260" s="12" t="n">
        <x:f>G260*H260*(1-I260)</x:f>
        <x:v>70.584</x:v>
      </x:c>
      <x:c r="L260" s="12" t="n">
        <x:f>K260-(G260*J260)</x:f>
        <x:v>27.824000000000005</x:v>
      </x:c>
      <x:c r="M260" s="16" t="n">
        <x:f>IFERROR(L260/K260,0)</x:f>
        <x:v>0.39419698515244256</x:v>
      </x:c>
    </x:row>
    <x:row r="261">
      <x:c r="A261" t="str">
        <x:v>ORD-00260</x:v>
      </x:c>
      <x:c r="B261" s="10" t="n">
        <x:v>46194</x:v>
      </x:c>
      <x:c r="C261" t="str">
        <x:v>South</x:v>
      </x:c>
      <x:c r="D261" t="str">
        <x:v>Home</x:v>
      </x:c>
      <x:c r="E261" t="str">
        <x:v>Air Purifier</x:v>
      </x:c>
      <x:c r="F261" t="str">
        <x:v>Bruno</x:v>
      </x:c>
      <x:c r="G261" t="n">
        <x:v>6</x:v>
      </x:c>
      <x:c r="H261" s="12" t="n">
        <x:v>187.53</x:v>
      </x:c>
      <x:c r="I261" s="14" t="n">
        <x:v>0</x:v>
      </x:c>
      <x:c r="J261" s="12" t="n">
        <x:v>108.96</x:v>
      </x:c>
      <x:c r="K261" s="12" t="n">
        <x:f>G261*H261*(1-I261)</x:f>
        <x:v>1125.18</x:v>
      </x:c>
      <x:c r="L261" s="12" t="n">
        <x:f>K261-(G261*J261)</x:f>
        <x:v>471.4200000000001</x:v>
      </x:c>
      <x:c r="M261" s="16" t="n">
        <x:f>IFERROR(L261/K261,0)</x:f>
        <x:v>0.4189729643257079</x:v>
      </x:c>
    </x:row>
    <x:row r="262">
      <x:c r="A262" t="str">
        <x:v>ORD-00261</x:v>
      </x:c>
      <x:c r="B262" s="10" t="n">
        <x:v>46212</x:v>
      </x:c>
      <x:c r="C262" t="str">
        <x:v>Southeast</x:v>
      </x:c>
      <x:c r="D262" t="str">
        <x:v>Home</x:v>
      </x:c>
      <x:c r="E262" t="str">
        <x:v>Air Purifier</x:v>
      </x:c>
      <x:c r="F262" t="str">
        <x:v>Carla</x:v>
      </x:c>
      <x:c r="G262" t="n">
        <x:v>4</x:v>
      </x:c>
      <x:c r="H262" s="12" t="n">
        <x:v>176.68</x:v>
      </x:c>
      <x:c r="I262" s="14" t="n">
        <x:v>0.05</x:v>
      </x:c>
      <x:c r="J262" s="12" t="n">
        <x:v>109.57</x:v>
      </x:c>
      <x:c r="K262" s="12" t="n">
        <x:f>G262*H262*(1-I262)</x:f>
        <x:v>671.384</x:v>
      </x:c>
      <x:c r="L262" s="12" t="n">
        <x:f>K262-(G262*J262)</x:f>
        <x:v>233.10400000000004</x:v>
      </x:c>
      <x:c r="M262" s="16" t="n">
        <x:f>IFERROR(L262/K262,0)</x:f>
        <x:v>0.34719921833108924</x:v>
      </x:c>
    </x:row>
    <x:row r="263">
      <x:c r="A263" t="str">
        <x:v>ORD-00262</x:v>
      </x:c>
      <x:c r="B263" s="10" t="n">
        <x:v>46120</x:v>
      </x:c>
      <x:c r="C263" t="str">
        <x:v>South</x:v>
      </x:c>
      <x:c r="D263" t="str">
        <x:v>Accessories</x:v>
      </x:c>
      <x:c r="E263" t="str">
        <x:v>Backpack</x:v>
      </x:c>
      <x:c r="F263" t="str">
        <x:v>Felipe</x:v>
      </x:c>
      <x:c r="G263" t="n">
        <x:v>5</x:v>
      </x:c>
      <x:c r="H263" s="12" t="n">
        <x:v>88.35</x:v>
      </x:c>
      <x:c r="I263" s="14" t="n">
        <x:v>0.05</x:v>
      </x:c>
      <x:c r="J263" s="12" t="n">
        <x:v>42.14</x:v>
      </x:c>
      <x:c r="K263" s="12" t="n">
        <x:f>G263*H263*(1-I263)</x:f>
        <x:v>419.66249999999997</x:v>
      </x:c>
      <x:c r="L263" s="12" t="n">
        <x:f>K263-(G263*J263)</x:f>
        <x:v>208.96249999999998</x:v>
      </x:c>
      <x:c r="M263" s="16" t="n">
        <x:f>IFERROR(L263/K263,0)</x:f>
        <x:v>0.49792988413308314</x:v>
      </x:c>
    </x:row>
    <x:row r="264">
      <x:c r="A264" t="str">
        <x:v>ORD-00263</x:v>
      </x:c>
      <x:c r="B264" s="10" t="n">
        <x:v>46143</x:v>
      </x:c>
      <x:c r="C264" t="str">
        <x:v>Midwest</x:v>
      </x:c>
      <x:c r="D264" t="str">
        <x:v>Accessories</x:v>
      </x:c>
      <x:c r="E264" t="str">
        <x:v>USB-C Hub</x:v>
      </x:c>
      <x:c r="F264" t="str">
        <x:v>Felipe</x:v>
      </x:c>
      <x:c r="G264" t="n">
        <x:v>6</x:v>
      </x:c>
      <x:c r="H264" s="12" t="n">
        <x:v>67.49</x:v>
      </x:c>
      <x:c r="I264" s="14" t="n">
        <x:v>0</x:v>
      </x:c>
      <x:c r="J264" s="12" t="n">
        <x:v>32.74</x:v>
      </x:c>
      <x:c r="K264" s="12" t="n">
        <x:f>G264*H264*(1-I264)</x:f>
        <x:v>404.93999999999994</x:v>
      </x:c>
      <x:c r="L264" s="12" t="n">
        <x:f>K264-(G264*J264)</x:f>
        <x:v>208.49999999999994</x:v>
      </x:c>
      <x:c r="M264" s="16" t="n">
        <x:f>IFERROR(L264/K264,0)</x:f>
        <x:v>0.5148910949770336</x:v>
      </x:c>
    </x:row>
    <x:row r="265">
      <x:c r="A265" t="str">
        <x:v>ORD-00264</x:v>
      </x:c>
      <x:c r="B265" s="10" t="n">
        <x:v>46060</x:v>
      </x:c>
      <x:c r="C265" t="str">
        <x:v>Southeast</x:v>
      </x:c>
      <x:c r="D265" t="str">
        <x:v>Home</x:v>
      </x:c>
      <x:c r="E265" t="str">
        <x:v>Coffee Maker</x:v>
      </x:c>
      <x:c r="F265" t="str">
        <x:v>Bruno</x:v>
      </x:c>
      <x:c r="G265" t="n">
        <x:v>3</x:v>
      </x:c>
      <x:c r="H265" s="12" t="n">
        <x:v>122.59</x:v>
      </x:c>
      <x:c r="I265" s="14" t="n">
        <x:v>0</x:v>
      </x:c>
      <x:c r="J265" s="12" t="n">
        <x:v>72.61</x:v>
      </x:c>
      <x:c r="K265" s="12" t="n">
        <x:f>G265*H265*(1-I265)</x:f>
        <x:v>367.77</x:v>
      </x:c>
      <x:c r="L265" s="12" t="n">
        <x:f>K265-(G265*J265)</x:f>
        <x:v>149.94</x:v>
      </x:c>
      <x:c r="M265" s="16" t="n">
        <x:f>IFERROR(L265/K265,0)</x:f>
        <x:v>0.4077004649645159</x:v>
      </x:c>
    </x:row>
    <x:row r="266">
      <x:c r="A266" t="str">
        <x:v>ORD-00265</x:v>
      </x:c>
      <x:c r="B266" s="10" t="n">
        <x:v>46150</x:v>
      </x:c>
      <x:c r="C266" t="str">
        <x:v>South</x:v>
      </x:c>
      <x:c r="D266" t="str">
        <x:v>Accessories</x:v>
      </x:c>
      <x:c r="E266" t="str">
        <x:v>Backpack</x:v>
      </x:c>
      <x:c r="F266" t="str">
        <x:v>Bruno</x:v>
      </x:c>
      <x:c r="G266" t="n">
        <x:v>8</x:v>
      </x:c>
      <x:c r="H266" s="12" t="n">
        <x:v>86.51</x:v>
      </x:c>
      <x:c r="I266" s="14" t="n">
        <x:v>0.2</x:v>
      </x:c>
      <x:c r="J266" s="12" t="n">
        <x:v>42.19</x:v>
      </x:c>
      <x:c r="K266" s="12" t="n">
        <x:f>G266*H266*(1-I266)</x:f>
        <x:v>553.6640000000001</x:v>
      </x:c>
      <x:c r="L266" s="12" t="n">
        <x:f>K266-(G266*J266)</x:f>
        <x:v>216.14400000000012</x:v>
      </x:c>
      <x:c r="M266" s="16" t="n">
        <x:f>IFERROR(L266/K266,0)</x:f>
        <x:v>0.39038839440527123</x:v>
      </x:c>
    </x:row>
    <x:row r="267">
      <x:c r="A267" t="str">
        <x:v>ORD-00266</x:v>
      </x:c>
      <x:c r="B267" s="10" t="n">
        <x:v>46210</x:v>
      </x:c>
      <x:c r="C267" t="str">
        <x:v>Midwest</x:v>
      </x:c>
      <x:c r="D267" t="str">
        <x:v>Office</x:v>
      </x:c>
      <x:c r="E267" t="str">
        <x:v>Office Chair</x:v>
      </x:c>
      <x:c r="F267" t="str">
        <x:v>Ana</x:v>
      </x:c>
      <x:c r="G267" t="n">
        <x:v>8</x:v>
      </x:c>
      <x:c r="H267" s="12" t="n">
        <x:v>228.81</x:v>
      </x:c>
      <x:c r="I267" s="14" t="n">
        <x:v>0</x:v>
      </x:c>
      <x:c r="J267" s="12" t="n">
        <x:v>133.84</x:v>
      </x:c>
      <x:c r="K267" s="12" t="n">
        <x:f>G267*H267*(1-I267)</x:f>
        <x:v>1830.48</x:v>
      </x:c>
      <x:c r="L267" s="12" t="n">
        <x:f>K267-(G267*J267)</x:f>
        <x:v>759.76</x:v>
      </x:c>
      <x:c r="M267" s="16" t="n">
        <x:f>IFERROR(L267/K267,0)</x:f>
        <x:v>0.4150605305712163</x:v>
      </x:c>
    </x:row>
    <x:row r="268">
      <x:c r="A268" t="str">
        <x:v>ORD-00267</x:v>
      </x:c>
      <x:c r="B268" s="10" t="n">
        <x:v>46157</x:v>
      </x:c>
      <x:c r="C268" t="str">
        <x:v>Southeast</x:v>
      </x:c>
      <x:c r="D268" t="str">
        <x:v>Technology</x:v>
      </x:c>
      <x:c r="E268" t="str">
        <x:v>Monitor 27</x:v>
      </x:c>
      <x:c r="F268" t="str">
        <x:v>Bruno</x:v>
      </x:c>
      <x:c r="G268" t="n">
        <x:v>1</x:v>
      </x:c>
      <x:c r="H268" s="12" t="n">
        <x:v>289.16</x:v>
      </x:c>
      <x:c r="I268" s="14" t="n">
        <x:v>0.1</x:v>
      </x:c>
      <x:c r="J268" s="12" t="n">
        <x:v>183.98</x:v>
      </x:c>
      <x:c r="K268" s="12" t="n">
        <x:f>G268*H268*(1-I268)</x:f>
        <x:v>260.244</x:v>
      </x:c>
      <x:c r="L268" s="12" t="n">
        <x:f>K268-(G268*J268)</x:f>
        <x:v>76.26400000000004</x:v>
      </x:c>
      <x:c r="M268" s="16" t="n">
        <x:f>IFERROR(L268/K268,0)</x:f>
        <x:v>0.29304806258741806</x:v>
      </x:c>
    </x:row>
    <x:row r="269">
      <x:c r="A269" t="str">
        <x:v>ORD-00268</x:v>
      </x:c>
      <x:c r="B269" s="10" t="n">
        <x:v>46040</x:v>
      </x:c>
      <x:c r="C269" t="str">
        <x:v>Northeast</x:v>
      </x:c>
      <x:c r="D269" t="str">
        <x:v>Technology</x:v>
      </x:c>
      <x:c r="E269" t="str">
        <x:v>Laptop Pro</x:v>
      </x:c>
      <x:c r="F269" t="str">
        <x:v>Elisa</x:v>
      </x:c>
      <x:c r="G269" t="n">
        <x:v>8</x:v>
      </x:c>
      <x:c r="H269" s="12" t="n">
        <x:v>1218.73</x:v>
      </x:c>
      <x:c r="I269" s="14" t="n">
        <x:v>0.05</x:v>
      </x:c>
      <x:c r="J269" s="12" t="n">
        <x:v>861.34</x:v>
      </x:c>
      <x:c r="K269" s="12" t="n">
        <x:f>G269*H269*(1-I269)</x:f>
        <x:v>9262.348</x:v>
      </x:c>
      <x:c r="L269" s="12" t="n">
        <x:f>K269-(G269*J269)</x:f>
        <x:v>2371.6279999999997</x:v>
      </x:c>
      <x:c r="M269" s="16" t="n">
        <x:f>IFERROR(L269/K269,0)</x:f>
        <x:v>0.2560504096801372</x:v>
      </x:c>
    </x:row>
    <x:row r="270">
      <x:c r="A270" t="str">
        <x:v>ORD-00269</x:v>
      </x:c>
      <x:c r="B270" s="10" t="n">
        <x:v>46256</x:v>
      </x:c>
      <x:c r="C270" t="str">
        <x:v>South</x:v>
      </x:c>
      <x:c r="D270" t="str">
        <x:v>Home</x:v>
      </x:c>
      <x:c r="E270" t="str">
        <x:v>Air Purifier</x:v>
      </x:c>
      <x:c r="F270" t="str">
        <x:v>Felipe</x:v>
      </x:c>
      <x:c r="G270" t="n">
        <x:v>1</x:v>
      </x:c>
      <x:c r="H270" s="12" t="n">
        <x:v>179.46</x:v>
      </x:c>
      <x:c r="I270" s="14" t="n">
        <x:v>0.05</x:v>
      </x:c>
      <x:c r="J270" s="12" t="n">
        <x:v>107.89</x:v>
      </x:c>
      <x:c r="K270" s="12" t="n">
        <x:f>G270*H270*(1-I270)</x:f>
        <x:v>170.487</x:v>
      </x:c>
      <x:c r="L270" s="12" t="n">
        <x:f>K270-(G270*J270)</x:f>
        <x:v>62.596999999999994</x:v>
      </x:c>
      <x:c r="M270" s="16" t="n">
        <x:f>IFERROR(L270/K270,0)</x:f>
        <x:v>0.3671658249602609</x:v>
      </x:c>
    </x:row>
    <x:row r="271">
      <x:c r="A271" t="str">
        <x:v>ORD-00270</x:v>
      </x:c>
      <x:c r="B271" s="10" t="n">
        <x:v>46093</x:v>
      </x:c>
      <x:c r="C271" t="str">
        <x:v>South</x:v>
      </x:c>
      <x:c r="D271" t="str">
        <x:v>Accessories</x:v>
      </x:c>
      <x:c r="E271" t="str">
        <x:v>USB-C Hub</x:v>
      </x:c>
      <x:c r="F271" t="str">
        <x:v>Ana</x:v>
      </x:c>
      <x:c r="G271" t="n">
        <x:v>7</x:v>
      </x:c>
      <x:c r="H271" s="12" t="n">
        <x:v>72.93</x:v>
      </x:c>
      <x:c r="I271" s="14" t="n">
        <x:v>0.15</x:v>
      </x:c>
      <x:c r="J271" s="12" t="n">
        <x:v>31.53</x:v>
      </x:c>
      <x:c r="K271" s="12" t="n">
        <x:f>G271*H271*(1-I271)</x:f>
        <x:v>433.93350000000004</x:v>
      </x:c>
      <x:c r="L271" s="12" t="n">
        <x:f>K271-(G271*J271)</x:f>
        <x:v>213.22350000000003</x:v>
      </x:c>
      <x:c r="M271" s="16" t="n">
        <x:f>IFERROR(L271/K271,0)</x:f>
        <x:v>0.4913736782248893</x:v>
      </x:c>
    </x:row>
    <x:row r="272">
      <x:c r="A272" t="str">
        <x:v>ORD-00271</x:v>
      </x:c>
      <x:c r="B272" s="10" t="n">
        <x:v>46157</x:v>
      </x:c>
      <x:c r="C272" t="str">
        <x:v>Southeast</x:v>
      </x:c>
      <x:c r="D272" t="str">
        <x:v>Office</x:v>
      </x:c>
      <x:c r="E272" t="str">
        <x:v>Desk Lamp</x:v>
      </x:c>
      <x:c r="F272" t="str">
        <x:v>Carla</x:v>
      </x:c>
      <x:c r="G272" t="n">
        <x:v>5</x:v>
      </x:c>
      <x:c r="H272" s="12" t="n">
        <x:v>54.12</x:v>
      </x:c>
      <x:c r="I272" s="14" t="n">
        <x:v>0.15</x:v>
      </x:c>
      <x:c r="J272" s="12" t="n">
        <x:v>24</x:v>
      </x:c>
      <x:c r="K272" s="12" t="n">
        <x:f>G272*H272*(1-I272)</x:f>
        <x:v>230.00999999999996</x:v>
      </x:c>
      <x:c r="L272" s="12" t="n">
        <x:f>K272-(G272*J272)</x:f>
        <x:v>110.00999999999996</x:v>
      </x:c>
      <x:c r="M272" s="16" t="n">
        <x:f>IFERROR(L272/K272,0)</x:f>
        <x:v>0.47828355288900476</x:v>
      </x:c>
    </x:row>
    <x:row r="273">
      <x:c r="A273" t="str">
        <x:v>ORD-00272</x:v>
      </x:c>
      <x:c r="B273" s="10" t="n">
        <x:v>46126</x:v>
      </x:c>
      <x:c r="C273" t="str">
        <x:v>South</x:v>
      </x:c>
      <x:c r="D273" t="str">
        <x:v>Office</x:v>
      </x:c>
      <x:c r="E273" t="str">
        <x:v>Desk Lamp</x:v>
      </x:c>
      <x:c r="F273" t="str">
        <x:v>Felipe</x:v>
      </x:c>
      <x:c r="G273" t="n">
        <x:v>4</x:v>
      </x:c>
      <x:c r="H273" s="12" t="n">
        <x:v>56.9</x:v>
      </x:c>
      <x:c r="I273" s="14" t="n">
        <x:v>0</x:v>
      </x:c>
      <x:c r="J273" s="12" t="n">
        <x:v>23.62</x:v>
      </x:c>
      <x:c r="K273" s="12" t="n">
        <x:f>G273*H273*(1-I273)</x:f>
        <x:v>227.6</x:v>
      </x:c>
      <x:c r="L273" s="12" t="n">
        <x:f>K273-(G273*J273)</x:f>
        <x:v>133.12</x:v>
      </x:c>
      <x:c r="M273" s="16" t="n">
        <x:f>IFERROR(L273/K273,0)</x:f>
        <x:v>0.5848857644991213</x:v>
      </x:c>
    </x:row>
    <x:row r="274">
      <x:c r="A274" t="str">
        <x:v>ORD-00273</x:v>
      </x:c>
      <x:c r="B274" s="10" t="n">
        <x:v>46217</x:v>
      </x:c>
      <x:c r="C274" t="str">
        <x:v>Southeast</x:v>
      </x:c>
      <x:c r="D274" t="str">
        <x:v>Home</x:v>
      </x:c>
      <x:c r="E274" t="str">
        <x:v>Coffee Maker</x:v>
      </x:c>
      <x:c r="F274" t="str">
        <x:v>Bruno</x:v>
      </x:c>
      <x:c r="G274" t="n">
        <x:v>7</x:v>
      </x:c>
      <x:c r="H274" s="12" t="n">
        <x:v>120.63</x:v>
      </x:c>
      <x:c r="I274" s="14" t="n">
        <x:v>0.05</x:v>
      </x:c>
      <x:c r="J274" s="12" t="n">
        <x:v>70.59</x:v>
      </x:c>
      <x:c r="K274" s="12" t="n">
        <x:f>G274*H274*(1-I274)</x:f>
        <x:v>802.1895</x:v>
      </x:c>
      <x:c r="L274" s="12" t="n">
        <x:f>K274-(G274*J274)</x:f>
        <x:v>308.05949999999996</x:v>
      </x:c>
      <x:c r="M274" s="16" t="n">
        <x:f>IFERROR(L274/K274,0)</x:f>
        <x:v>0.38402335109098285</x:v>
      </x:c>
    </x:row>
    <x:row r="275">
      <x:c r="A275" t="str">
        <x:v>ORD-00274</x:v>
      </x:c>
      <x:c r="B275" s="10" t="n">
        <x:v>46044</x:v>
      </x:c>
      <x:c r="C275" t="str">
        <x:v>South</x:v>
      </x:c>
      <x:c r="D275" t="str">
        <x:v>Home</x:v>
      </x:c>
      <x:c r="E275" t="str">
        <x:v>Smart Lamp</x:v>
      </x:c>
      <x:c r="F275" t="str">
        <x:v>Elisa</x:v>
      </x:c>
      <x:c r="G275" t="n">
        <x:v>6</x:v>
      </x:c>
      <x:c r="H275" s="12" t="n">
        <x:v>67.42</x:v>
      </x:c>
      <x:c r="I275" s="14" t="n">
        <x:v>0.05</x:v>
      </x:c>
      <x:c r="J275" s="12" t="n">
        <x:v>28.56</x:v>
      </x:c>
      <x:c r="K275" s="12" t="n">
        <x:f>G275*H275*(1-I275)</x:f>
        <x:v>384.294</x:v>
      </x:c>
      <x:c r="L275" s="12" t="n">
        <x:f>K275-(G275*J275)</x:f>
        <x:v>212.934</x:v>
      </x:c>
      <x:c r="M275" s="16" t="n">
        <x:f>IFERROR(L275/K275,0)</x:f>
        <x:v>0.5540913987728145</x:v>
      </x:c>
    </x:row>
    <x:row r="276">
      <x:c r="A276" t="str">
        <x:v>ORD-00275</x:v>
      </x:c>
      <x:c r="B276" s="10" t="n">
        <x:v>46258</x:v>
      </x:c>
      <x:c r="C276" t="str">
        <x:v>Southeast</x:v>
      </x:c>
      <x:c r="D276" t="str">
        <x:v>Office</x:v>
      </x:c>
      <x:c r="E276" t="str">
        <x:v>Desk Lamp</x:v>
      </x:c>
      <x:c r="F276" t="str">
        <x:v>Carla</x:v>
      </x:c>
      <x:c r="G276" t="n">
        <x:v>8</x:v>
      </x:c>
      <x:c r="H276" s="12" t="n">
        <x:v>57.37</x:v>
      </x:c>
      <x:c r="I276" s="14" t="n">
        <x:v>0</x:v>
      </x:c>
      <x:c r="J276" s="12" t="n">
        <x:v>24.34</x:v>
      </x:c>
      <x:c r="K276" s="12" t="n">
        <x:f>G276*H276*(1-I276)</x:f>
        <x:v>458.96</x:v>
      </x:c>
      <x:c r="L276" s="12" t="n">
        <x:f>K276-(G276*J276)</x:f>
        <x:v>264.24</x:v>
      </x:c>
      <x:c r="M276" s="16" t="n">
        <x:f>IFERROR(L276/K276,0)</x:f>
        <x:v>0.5757364476207077</x:v>
      </x:c>
    </x:row>
    <x:row r="277">
      <x:c r="A277" t="str">
        <x:v>ORD-00276</x:v>
      </x:c>
      <x:c r="B277" s="10" t="n">
        <x:v>46253</x:v>
      </x:c>
      <x:c r="C277" t="str">
        <x:v>South</x:v>
      </x:c>
      <x:c r="D277" t="str">
        <x:v>Technology</x:v>
      </x:c>
      <x:c r="E277" t="str">
        <x:v>Laptop Pro</x:v>
      </x:c>
      <x:c r="F277" t="str">
        <x:v>Felipe</x:v>
      </x:c>
      <x:c r="G277" t="n">
        <x:v>6</x:v>
      </x:c>
      <x:c r="H277" s="12" t="n">
        <x:v>1174.37</x:v>
      </x:c>
      <x:c r="I277" s="14" t="n">
        <x:v>0</x:v>
      </x:c>
      <x:c r="J277" s="12" t="n">
        <x:v>839.13</x:v>
      </x:c>
      <x:c r="K277" s="12" t="n">
        <x:f>G277*H277*(1-I277)</x:f>
        <x:v>7046.219999999999</x:v>
      </x:c>
      <x:c r="L277" s="12" t="n">
        <x:f>K277-(G277*J277)</x:f>
        <x:v>2011.4399999999996</x:v>
      </x:c>
      <x:c r="M277" s="16" t="n">
        <x:f>IFERROR(L277/K277,0)</x:f>
        <x:v>0.285463695428187</x:v>
      </x:c>
    </x:row>
    <x:row r="278">
      <x:c r="A278" t="str">
        <x:v>ORD-00277</x:v>
      </x:c>
      <x:c r="B278" s="10" t="n">
        <x:v>46233</x:v>
      </x:c>
      <x:c r="C278" t="str">
        <x:v>South</x:v>
      </x:c>
      <x:c r="D278" t="str">
        <x:v>Technology</x:v>
      </x:c>
      <x:c r="E278" t="str">
        <x:v>Wireless Mouse</x:v>
      </x:c>
      <x:c r="F278" t="str">
        <x:v>Felipe</x:v>
      </x:c>
      <x:c r="G278" t="n">
        <x:v>3</x:v>
      </x:c>
      <x:c r="H278" s="12" t="n">
        <x:v>35.39</x:v>
      </x:c>
      <x:c r="I278" s="14" t="n">
        <x:v>0.05</x:v>
      </x:c>
      <x:c r="J278" s="12" t="n">
        <x:v>16.36</x:v>
      </x:c>
      <x:c r="K278" s="12" t="n">
        <x:f>G278*H278*(1-I278)</x:f>
        <x:v>100.86149999999999</x:v>
      </x:c>
      <x:c r="L278" s="12" t="n">
        <x:f>K278-(G278*J278)</x:f>
        <x:v>51.781499999999994</x:v>
      </x:c>
      <x:c r="M278" s="16" t="n">
        <x:f>IFERROR(L278/K278,0)</x:f>
        <x:v>0.5133921268273821</x:v>
      </x:c>
    </x:row>
    <x:row r="279">
      <x:c r="A279" t="str">
        <x:v>ORD-00278</x:v>
      </x:c>
      <x:c r="B279" s="10" t="n">
        <x:v>46252</x:v>
      </x:c>
      <x:c r="C279" t="str">
        <x:v>South</x:v>
      </x:c>
      <x:c r="D279" t="str">
        <x:v>Home</x:v>
      </x:c>
      <x:c r="E279" t="str">
        <x:v>Smart Lamp</x:v>
      </x:c>
      <x:c r="F279" t="str">
        <x:v>Felipe</x:v>
      </x:c>
      <x:c r="G279" t="n">
        <x:v>3</x:v>
      </x:c>
      <x:c r="H279" s="12" t="n">
        <x:v>66.43</x:v>
      </x:c>
      <x:c r="I279" s="14" t="n">
        <x:v>0.1</x:v>
      </x:c>
      <x:c r="J279" s="12" t="n">
        <x:v>28.53</x:v>
      </x:c>
      <x:c r="K279" s="12" t="n">
        <x:f>G279*H279*(1-I279)</x:f>
        <x:v>179.36100000000002</x:v>
      </x:c>
      <x:c r="L279" s="12" t="n">
        <x:f>K279-(G279*J279)</x:f>
        <x:v>93.77100000000002</x:v>
      </x:c>
      <x:c r="M279" s="16" t="n">
        <x:f>IFERROR(L279/K279,0)</x:f>
        <x:v>0.5228059611621255</x:v>
      </x:c>
    </x:row>
    <x:row r="280">
      <x:c r="A280" t="str">
        <x:v>ORD-00279</x:v>
      </x:c>
      <x:c r="B280" s="10" t="n">
        <x:v>46111</x:v>
      </x:c>
      <x:c r="C280" t="str">
        <x:v>Southeast</x:v>
      </x:c>
      <x:c r="D280" t="str">
        <x:v>Home</x:v>
      </x:c>
      <x:c r="E280" t="str">
        <x:v>Air Purifier</x:v>
      </x:c>
      <x:c r="F280" t="str">
        <x:v>Diego</x:v>
      </x:c>
      <x:c r="G280" t="n">
        <x:v>2</x:v>
      </x:c>
      <x:c r="H280" s="12" t="n">
        <x:v>185.26</x:v>
      </x:c>
      <x:c r="I280" s="14" t="n">
        <x:v>0</x:v>
      </x:c>
      <x:c r="J280" s="12" t="n">
        <x:v>113.05</x:v>
      </x:c>
      <x:c r="K280" s="12" t="n">
        <x:f>G280*H280*(1-I280)</x:f>
        <x:v>370.52</x:v>
      </x:c>
      <x:c r="L280" s="12" t="n">
        <x:f>K280-(G280*J280)</x:f>
        <x:v>144.42</x:v>
      </x:c>
      <x:c r="M280" s="16" t="n">
        <x:f>IFERROR(L280/K280,0)</x:f>
        <x:v>0.3897765302817662</x:v>
      </x:c>
    </x:row>
    <x:row r="281">
      <x:c r="A281" t="str">
        <x:v>ORD-00280</x:v>
      </x:c>
      <x:c r="B281" s="10" t="n">
        <x:v>46221</x:v>
      </x:c>
      <x:c r="C281" t="str">
        <x:v>Southeast</x:v>
      </x:c>
      <x:c r="D281" t="str">
        <x:v>Accessories</x:v>
      </x:c>
      <x:c r="E281" t="str">
        <x:v>Backpack</x:v>
      </x:c>
      <x:c r="F281" t="str">
        <x:v>Bruno</x:v>
      </x:c>
      <x:c r="G281" t="n">
        <x:v>8</x:v>
      </x:c>
      <x:c r="H281" s="12" t="n">
        <x:v>85.83</x:v>
      </x:c>
      <x:c r="I281" s="14" t="n">
        <x:v>0</x:v>
      </x:c>
      <x:c r="J281" s="12" t="n">
        <x:v>41.95</x:v>
      </x:c>
      <x:c r="K281" s="12" t="n">
        <x:f>G281*H281*(1-I281)</x:f>
        <x:v>686.64</x:v>
      </x:c>
      <x:c r="L281" s="12" t="n">
        <x:f>K281-(G281*J281)</x:f>
        <x:v>351.03999999999996</x:v>
      </x:c>
      <x:c r="M281" s="16" t="n">
        <x:f>IFERROR(L281/K281,0)</x:f>
        <x:v>0.5112431550739834</x:v>
      </x:c>
    </x:row>
    <x:row r="282">
      <x:c r="A282" t="str">
        <x:v>ORD-00281</x:v>
      </x:c>
      <x:c r="B282" s="10" t="n">
        <x:v>46197</x:v>
      </x:c>
      <x:c r="C282" t="str">
        <x:v>Northeast</x:v>
      </x:c>
      <x:c r="D282" t="str">
        <x:v>Home</x:v>
      </x:c>
      <x:c r="E282" t="str">
        <x:v>Air Purifier</x:v>
      </x:c>
      <x:c r="F282" t="str">
        <x:v>Bruno</x:v>
      </x:c>
      <x:c r="G282" t="n">
        <x:v>5</x:v>
      </x:c>
      <x:c r="H282" s="12" t="n">
        <x:v>184.35</x:v>
      </x:c>
      <x:c r="I282" s="14" t="n">
        <x:v>0.1</x:v>
      </x:c>
      <x:c r="J282" s="12" t="n">
        <x:v>108.25</x:v>
      </x:c>
      <x:c r="K282" s="12" t="n">
        <x:f>G282*H282*(1-I282)</x:f>
        <x:v>829.575</x:v>
      </x:c>
      <x:c r="L282" s="12" t="n">
        <x:f>K282-(G282*J282)</x:f>
        <x:v>288.32500000000005</x:v>
      </x:c>
      <x:c r="M282" s="16" t="n">
        <x:f>IFERROR(L282/K282,0)</x:f>
        <x:v>0.3475574842539855</x:v>
      </x:c>
    </x:row>
    <x:row r="283">
      <x:c r="A283" t="str">
        <x:v>ORD-00282</x:v>
      </x:c>
      <x:c r="B283" s="10" t="n">
        <x:v>46120</x:v>
      </x:c>
      <x:c r="C283" t="str">
        <x:v>Northeast</x:v>
      </x:c>
      <x:c r="D283" t="str">
        <x:v>Office</x:v>
      </x:c>
      <x:c r="E283" t="str">
        <x:v>Desk Lamp</x:v>
      </x:c>
      <x:c r="F283" t="str">
        <x:v>Carla</x:v>
      </x:c>
      <x:c r="G283" t="n">
        <x:v>7</x:v>
      </x:c>
      <x:c r="H283" s="12" t="n">
        <x:v>53.33</x:v>
      </x:c>
      <x:c r="I283" s="14" t="n">
        <x:v>0</x:v>
      </x:c>
      <x:c r="J283" s="12" t="n">
        <x:v>23.53</x:v>
      </x:c>
      <x:c r="K283" s="12" t="n">
        <x:f>G283*H283*(1-I283)</x:f>
        <x:v>373.31</x:v>
      </x:c>
      <x:c r="L283" s="12" t="n">
        <x:f>K283-(G283*J283)</x:f>
        <x:v>208.6</x:v>
      </x:c>
      <x:c r="M283" s="16" t="n">
        <x:f>IFERROR(L283/K283,0)</x:f>
        <x:v>0.5587849240577536</x:v>
      </x:c>
    </x:row>
    <x:row r="284">
      <x:c r="A284" t="str">
        <x:v>ORD-00283</x:v>
      </x:c>
      <x:c r="B284" s="10" t="n">
        <x:v>46136</x:v>
      </x:c>
      <x:c r="C284" t="str">
        <x:v>Southeast</x:v>
      </x:c>
      <x:c r="D284" t="str">
        <x:v>Accessories</x:v>
      </x:c>
      <x:c r="E284" t="str">
        <x:v>USB-C Hub</x:v>
      </x:c>
      <x:c r="F284" t="str">
        <x:v>Elisa</x:v>
      </x:c>
      <x:c r="G284" t="n">
        <x:v>3</x:v>
      </x:c>
      <x:c r="H284" s="12" t="n">
        <x:v>69.92</x:v>
      </x:c>
      <x:c r="I284" s="14" t="n">
        <x:v>0</x:v>
      </x:c>
      <x:c r="J284" s="12" t="n">
        <x:v>32.25</x:v>
      </x:c>
      <x:c r="K284" s="12" t="n">
        <x:f>G284*H284*(1-I284)</x:f>
        <x:v>209.76</x:v>
      </x:c>
      <x:c r="L284" s="12" t="n">
        <x:f>K284-(G284*J284)</x:f>
        <x:v>113.00999999999999</x:v>
      </x:c>
      <x:c r="M284" s="16" t="n">
        <x:f>IFERROR(L284/K284,0)</x:f>
        <x:v>0.538758581235698</x:v>
      </x:c>
    </x:row>
    <x:row r="285">
      <x:c r="A285" t="str">
        <x:v>ORD-00284</x:v>
      </x:c>
      <x:c r="B285" s="10" t="n">
        <x:v>46127</x:v>
      </x:c>
      <x:c r="C285" t="str">
        <x:v>Southeast</x:v>
      </x:c>
      <x:c r="D285" t="str">
        <x:v>Technology</x:v>
      </x:c>
      <x:c r="E285" t="str">
        <x:v>Wireless Mouse</x:v>
      </x:c>
      <x:c r="F285" t="str">
        <x:v>Ana</x:v>
      </x:c>
      <x:c r="G285" t="n">
        <x:v>2</x:v>
      </x:c>
      <x:c r="H285" s="12" t="n">
        <x:v>36.07</x:v>
      </x:c>
      <x:c r="I285" s="14" t="n">
        <x:v>0.05</x:v>
      </x:c>
      <x:c r="J285" s="12" t="n">
        <x:v>16.37</x:v>
      </x:c>
      <x:c r="K285" s="12" t="n">
        <x:f>G285*H285*(1-I285)</x:f>
        <x:v>68.533</x:v>
      </x:c>
      <x:c r="L285" s="12" t="n">
        <x:f>K285-(G285*J285)</x:f>
        <x:v>35.793</x:v>
      </x:c>
      <x:c r="M285" s="16" t="n">
        <x:f>IFERROR(L285/K285,0)</x:f>
        <x:v>0.5222739410211139</x:v>
      </x:c>
    </x:row>
    <x:row r="286">
      <x:c r="A286" t="str">
        <x:v>ORD-00285</x:v>
      </x:c>
      <x:c r="B286" s="10" t="n">
        <x:v>46097</x:v>
      </x:c>
      <x:c r="C286" t="str">
        <x:v>South</x:v>
      </x:c>
      <x:c r="D286" t="str">
        <x:v>Technology</x:v>
      </x:c>
      <x:c r="E286" t="str">
        <x:v>Monitor 27</x:v>
      </x:c>
      <x:c r="F286" t="str">
        <x:v>Bruno</x:v>
      </x:c>
      <x:c r="G286" t="n">
        <x:v>4</x:v>
      </x:c>
      <x:c r="H286" s="12" t="n">
        <x:v>282.83</x:v>
      </x:c>
      <x:c r="I286" s="14" t="n">
        <x:v>0.05</x:v>
      </x:c>
      <x:c r="J286" s="12" t="n">
        <x:v>179.83</x:v>
      </x:c>
      <x:c r="K286" s="12" t="n">
        <x:f>G286*H286*(1-I286)</x:f>
        <x:v>1074.754</x:v>
      </x:c>
      <x:c r="L286" s="12" t="n">
        <x:f>K286-(G286*J286)</x:f>
        <x:v>355.43399999999986</x:v>
      </x:c>
      <x:c r="M286" s="16" t="n">
        <x:f>IFERROR(L286/K286,0)</x:f>
        <x:v>0.33071195827138106</x:v>
      </x:c>
    </x:row>
    <x:row r="287">
      <x:c r="A287" t="str">
        <x:v>ORD-00286</x:v>
      </x:c>
      <x:c r="B287" s="10" t="n">
        <x:v>46091</x:v>
      </x:c>
      <x:c r="C287" t="str">
        <x:v>Southeast</x:v>
      </x:c>
      <x:c r="D287" t="str">
        <x:v>Home</x:v>
      </x:c>
      <x:c r="E287" t="str">
        <x:v>Air Purifier</x:v>
      </x:c>
      <x:c r="F287" t="str">
        <x:v>Ana</x:v>
      </x:c>
      <x:c r="G287" t="n">
        <x:v>2</x:v>
      </x:c>
      <x:c r="H287" s="12" t="n">
        <x:v>177.27</x:v>
      </x:c>
      <x:c r="I287" s="14" t="n">
        <x:v>0</x:v>
      </x:c>
      <x:c r="J287" s="12" t="n">
        <x:v>109.45</x:v>
      </x:c>
      <x:c r="K287" s="12" t="n">
        <x:f>G287*H287*(1-I287)</x:f>
        <x:v>354.54</x:v>
      </x:c>
      <x:c r="L287" s="12" t="n">
        <x:f>K287-(G287*J287)</x:f>
        <x:v>135.64000000000001</x:v>
      </x:c>
      <x:c r="M287" s="16" t="n">
        <x:f>IFERROR(L287/K287,0)</x:f>
        <x:v>0.3825802448242794</x:v>
      </x:c>
    </x:row>
    <x:row r="288">
      <x:c r="A288" t="str">
        <x:v>ORD-00287</x:v>
      </x:c>
      <x:c r="B288" s="10" t="n">
        <x:v>46115</x:v>
      </x:c>
      <x:c r="C288" t="str">
        <x:v>Southeast</x:v>
      </x:c>
      <x:c r="D288" t="str">
        <x:v>Office</x:v>
      </x:c>
      <x:c r="E288" t="str">
        <x:v>Desk Lamp</x:v>
      </x:c>
      <x:c r="F288" t="str">
        <x:v>Carla</x:v>
      </x:c>
      <x:c r="G288" t="n">
        <x:v>8</x:v>
      </x:c>
      <x:c r="H288" s="12" t="n">
        <x:v>53.77</x:v>
      </x:c>
      <x:c r="I288" s="14" t="n">
        <x:v>0.05</x:v>
      </x:c>
      <x:c r="J288" s="12" t="n">
        <x:v>23.65</x:v>
      </x:c>
      <x:c r="K288" s="12" t="n">
        <x:f>G288*H288*(1-I288)</x:f>
        <x:v>408.652</x:v>
      </x:c>
      <x:c r="L288" s="12" t="n">
        <x:f>K288-(G288*J288)</x:f>
        <x:v>219.452</x:v>
      </x:c>
      <x:c r="M288" s="16" t="n">
        <x:f>IFERROR(L288/K288,0)</x:f>
        <x:v>0.5370143789826063</x:v>
      </x:c>
    </x:row>
    <x:row r="289">
      <x:c r="A289" t="str">
        <x:v>ORD-00288</x:v>
      </x:c>
      <x:c r="B289" s="10" t="n">
        <x:v>46024</x:v>
      </x:c>
      <x:c r="C289" t="str">
        <x:v>North</x:v>
      </x:c>
      <x:c r="D289" t="str">
        <x:v>Accessories</x:v>
      </x:c>
      <x:c r="E289" t="str">
        <x:v>Webcam HD</x:v>
      </x:c>
      <x:c r="F289" t="str">
        <x:v>Felipe</x:v>
      </x:c>
      <x:c r="G289" t="n">
        <x:v>7</x:v>
      </x:c>
      <x:c r="H289" s="12" t="n">
        <x:v>94.02</x:v>
      </x:c>
      <x:c r="I289" s="14" t="n">
        <x:v>0.15</x:v>
      </x:c>
      <x:c r="J289" s="12" t="n">
        <x:v>47.84</x:v>
      </x:c>
      <x:c r="K289" s="12" t="n">
        <x:f>G289*H289*(1-I289)</x:f>
        <x:v>559.419</x:v>
      </x:c>
      <x:c r="L289" s="12" t="n">
        <x:f>K289-(G289*J289)</x:f>
        <x:v>224.539</x:v>
      </x:c>
      <x:c r="M289" s="16" t="n">
        <x:f>IFERROR(L289/K289,0)</x:f>
        <x:v>0.40137893064053953</x:v>
      </x:c>
    </x:row>
    <x:row r="290">
      <x:c r="A290" t="str">
        <x:v>ORD-00289</x:v>
      </x:c>
      <x:c r="B290" s="10" t="n">
        <x:v>46175</x:v>
      </x:c>
      <x:c r="C290" t="str">
        <x:v>Southeast</x:v>
      </x:c>
      <x:c r="D290" t="str">
        <x:v>Accessories</x:v>
      </x:c>
      <x:c r="E290" t="str">
        <x:v>Webcam HD</x:v>
      </x:c>
      <x:c r="F290" t="str">
        <x:v>Carla</x:v>
      </x:c>
      <x:c r="G290" t="n">
        <x:v>4</x:v>
      </x:c>
      <x:c r="H290" s="12" t="n">
        <x:v>92.72</x:v>
      </x:c>
      <x:c r="I290" s="14" t="n">
        <x:v>0.05</x:v>
      </x:c>
      <x:c r="J290" s="12" t="n">
        <x:v>48</x:v>
      </x:c>
      <x:c r="K290" s="12" t="n">
        <x:f>G290*H290*(1-I290)</x:f>
        <x:v>352.33599999999996</x:v>
      </x:c>
      <x:c r="L290" s="12" t="n">
        <x:f>K290-(G290*J290)</x:f>
        <x:v>160.33599999999996</x:v>
      </x:c>
      <x:c r="M290" s="16" t="n">
        <x:f>IFERROR(L290/K290,0)</x:f>
        <x:v>0.45506561918169014</x:v>
      </x:c>
    </x:row>
    <x:row r="291">
      <x:c r="A291" t="str">
        <x:v>ORD-00290</x:v>
      </x:c>
      <x:c r="B291" s="10" t="n">
        <x:v>46097</x:v>
      </x:c>
      <x:c r="C291" t="str">
        <x:v>Northeast</x:v>
      </x:c>
      <x:c r="D291" t="str">
        <x:v>Home</x:v>
      </x:c>
      <x:c r="E291" t="str">
        <x:v>Smart Lamp</x:v>
      </x:c>
      <x:c r="F291" t="str">
        <x:v>Carla</x:v>
      </x:c>
      <x:c r="G291" t="n">
        <x:v>4</x:v>
      </x:c>
      <x:c r="H291" s="12" t="n">
        <x:v>64.04</x:v>
      </x:c>
      <x:c r="I291" s="14" t="n">
        <x:v>0</x:v>
      </x:c>
      <x:c r="J291" s="12" t="n">
        <x:v>29.56</x:v>
      </x:c>
      <x:c r="K291" s="12" t="n">
        <x:f>G291*H291*(1-I291)</x:f>
        <x:v>256.16</x:v>
      </x:c>
      <x:c r="L291" s="12" t="n">
        <x:f>K291-(G291*J291)</x:f>
        <x:v>137.92000000000002</x:v>
      </x:c>
      <x:c r="M291" s="16" t="n">
        <x:f>IFERROR(L291/K291,0)</x:f>
        <x:v>0.5384134915677702</x:v>
      </x:c>
    </x:row>
    <x:row r="292">
      <x:c r="A292" t="str">
        <x:v>ORD-00291</x:v>
      </x:c>
      <x:c r="B292" s="10" t="n">
        <x:v>46052</x:v>
      </x:c>
      <x:c r="C292" t="str">
        <x:v>North</x:v>
      </x:c>
      <x:c r="D292" t="str">
        <x:v>Office</x:v>
      </x:c>
      <x:c r="E292" t="str">
        <x:v>Desk Lamp</x:v>
      </x:c>
      <x:c r="F292" t="str">
        <x:v>Diego</x:v>
      </x:c>
      <x:c r="G292" t="n">
        <x:v>3</x:v>
      </x:c>
      <x:c r="H292" s="12" t="n">
        <x:v>55.52</x:v>
      </x:c>
      <x:c r="I292" s="14" t="n">
        <x:v>0.1</x:v>
      </x:c>
      <x:c r="J292" s="12" t="n">
        <x:v>24.66</x:v>
      </x:c>
      <x:c r="K292" s="12" t="n">
        <x:f>G292*H292*(1-I292)</x:f>
        <x:v>149.904</x:v>
      </x:c>
      <x:c r="L292" s="12" t="n">
        <x:f>K292-(G292*J292)</x:f>
        <x:v>75.92399999999999</x:v>
      </x:c>
      <x:c r="M292" s="16" t="n">
        <x:f>IFERROR(L292/K292,0)</x:f>
        <x:v>0.5064841498559077</x:v>
      </x:c>
    </x:row>
    <x:row r="293">
      <x:c r="A293" t="str">
        <x:v>ORD-00292</x:v>
      </x:c>
      <x:c r="B293" s="10" t="n">
        <x:v>46264</x:v>
      </x:c>
      <x:c r="C293" t="str">
        <x:v>Northeast</x:v>
      </x:c>
      <x:c r="D293" t="str">
        <x:v>Home</x:v>
      </x:c>
      <x:c r="E293" t="str">
        <x:v>Coffee Maker</x:v>
      </x:c>
      <x:c r="F293" t="str">
        <x:v>Diego</x:v>
      </x:c>
      <x:c r="G293" t="n">
        <x:v>2</x:v>
      </x:c>
      <x:c r="H293" s="12" t="n">
        <x:v>128.95</x:v>
      </x:c>
      <x:c r="I293" s="14" t="n">
        <x:v>0.15</x:v>
      </x:c>
      <x:c r="J293" s="12" t="n">
        <x:v>72.03</x:v>
      </x:c>
      <x:c r="K293" s="12" t="n">
        <x:f>G293*H293*(1-I293)</x:f>
        <x:v>219.21499999999997</x:v>
      </x:c>
      <x:c r="L293" s="12" t="n">
        <x:f>K293-(G293*J293)</x:f>
        <x:v>75.15499999999997</x:v>
      </x:c>
      <x:c r="M293" s="16" t="n">
        <x:f>IFERROR(L293/K293,0)</x:f>
        <x:v>0.3428369409027666</x:v>
      </x:c>
    </x:row>
    <x:row r="294">
      <x:c r="A294" t="str">
        <x:v>ORD-00293</x:v>
      </x:c>
      <x:c r="B294" s="10" t="n">
        <x:v>46058</x:v>
      </x:c>
      <x:c r="C294" t="str">
        <x:v>Northeast</x:v>
      </x:c>
      <x:c r="D294" t="str">
        <x:v>Office</x:v>
      </x:c>
      <x:c r="E294" t="str">
        <x:v>Standing Desk</x:v>
      </x:c>
      <x:c r="F294" t="str">
        <x:v>Elisa</x:v>
      </x:c>
      <x:c r="G294" t="n">
        <x:v>3</x:v>
      </x:c>
      <x:c r="H294" s="12" t="n">
        <x:v>433.03</x:v>
      </x:c>
      <x:c r="I294" s="14" t="n">
        <x:v>0.1</x:v>
      </x:c>
      <x:c r="J294" s="12" t="n">
        <x:v>265.6</x:v>
      </x:c>
      <x:c r="K294" s="12" t="n">
        <x:f>G294*H294*(1-I294)</x:f>
        <x:v>1169.181</x:v>
      </x:c>
      <x:c r="L294" s="12" t="n">
        <x:f>K294-(G294*J294)</x:f>
        <x:v>372.381</x:v>
      </x:c>
      <x:c r="M294" s="16" t="n">
        <x:f>IFERROR(L294/K294,0)</x:f>
        <x:v>0.31849730708932145</x:v>
      </x:c>
    </x:row>
    <x:row r="295">
      <x:c r="A295" t="str">
        <x:v>ORD-00294</x:v>
      </x:c>
      <x:c r="B295" s="10" t="n">
        <x:v>46145</x:v>
      </x:c>
      <x:c r="C295" t="str">
        <x:v>Northeast</x:v>
      </x:c>
      <x:c r="D295" t="str">
        <x:v>Home</x:v>
      </x:c>
      <x:c r="E295" t="str">
        <x:v>Smart Lamp</x:v>
      </x:c>
      <x:c r="F295" t="str">
        <x:v>Elisa</x:v>
      </x:c>
      <x:c r="G295" t="n">
        <x:v>1</x:v>
      </x:c>
      <x:c r="H295" s="12" t="n">
        <x:v>64.5</x:v>
      </x:c>
      <x:c r="I295" s="14" t="n">
        <x:v>0.1</x:v>
      </x:c>
      <x:c r="J295" s="12" t="n">
        <x:v>29.72</x:v>
      </x:c>
      <x:c r="K295" s="12" t="n">
        <x:f>G295*H295*(1-I295)</x:f>
        <x:v>58.050000000000004</x:v>
      </x:c>
      <x:c r="L295" s="12" t="n">
        <x:f>K295-(G295*J295)</x:f>
        <x:v>28.330000000000005</x:v>
      </x:c>
      <x:c r="M295" s="16" t="n">
        <x:f>IFERROR(L295/K295,0)</x:f>
        <x:v>0.48802756244616713</x:v>
      </x:c>
    </x:row>
    <x:row r="296">
      <x:c r="A296" t="str">
        <x:v>ORD-00295</x:v>
      </x:c>
      <x:c r="B296" s="10" t="n">
        <x:v>46175</x:v>
      </x:c>
      <x:c r="C296" t="str">
        <x:v>Northeast</x:v>
      </x:c>
      <x:c r="D296" t="str">
        <x:v>Technology</x:v>
      </x:c>
      <x:c r="E296" t="str">
        <x:v>Laptop Pro</x:v>
      </x:c>
      <x:c r="F296" t="str">
        <x:v>Ana</x:v>
      </x:c>
      <x:c r="G296" t="n">
        <x:v>4</x:v>
      </x:c>
      <x:c r="H296" s="12" t="n">
        <x:v>1190.34</x:v>
      </x:c>
      <x:c r="I296" s="14" t="n">
        <x:v>0.1</x:v>
      </x:c>
      <x:c r="J296" s="12" t="n">
        <x:v>860.5</x:v>
      </x:c>
      <x:c r="K296" s="12" t="n">
        <x:f>G296*H296*(1-I296)</x:f>
        <x:v>4285.224</x:v>
      </x:c>
      <x:c r="L296" s="12" t="n">
        <x:f>K296-(G296*J296)</x:f>
        <x:v>843.2240000000002</x:v>
      </x:c>
      <x:c r="M296" s="16" t="n">
        <x:f>IFERROR(L296/K296,0)</x:f>
        <x:v>0.19677477770123572</x:v>
      </x:c>
    </x:row>
    <x:row r="297">
      <x:c r="A297" t="str">
        <x:v>ORD-00296</x:v>
      </x:c>
      <x:c r="B297" s="10" t="n">
        <x:v>46167</x:v>
      </x:c>
      <x:c r="C297" t="str">
        <x:v>North</x:v>
      </x:c>
      <x:c r="D297" t="str">
        <x:v>Home</x:v>
      </x:c>
      <x:c r="E297" t="str">
        <x:v>Coffee Maker</x:v>
      </x:c>
      <x:c r="F297" t="str">
        <x:v>Felipe</x:v>
      </x:c>
      <x:c r="G297" t="n">
        <x:v>7</x:v>
      </x:c>
      <x:c r="H297" s="12" t="n">
        <x:v>121.11</x:v>
      </x:c>
      <x:c r="I297" s="14" t="n">
        <x:v>0</x:v>
      </x:c>
      <x:c r="J297" s="12" t="n">
        <x:v>71.36</x:v>
      </x:c>
      <x:c r="K297" s="12" t="n">
        <x:f>G297*H297*(1-I297)</x:f>
        <x:v>847.77</x:v>
      </x:c>
      <x:c r="L297" s="12" t="n">
        <x:f>K297-(G297*J297)</x:f>
        <x:v>348.25</x:v>
      </x:c>
      <x:c r="M297" s="16" t="n">
        <x:f>IFERROR(L297/K297,0)</x:f>
        <x:v>0.41078358517050617</x:v>
      </x:c>
    </x:row>
    <x:row r="298">
      <x:c r="A298" t="str">
        <x:v>ORD-00297</x:v>
      </x:c>
      <x:c r="B298" s="10" t="n">
        <x:v>46155</x:v>
      </x:c>
      <x:c r="C298" t="str">
        <x:v>South</x:v>
      </x:c>
      <x:c r="D298" t="str">
        <x:v>Office</x:v>
      </x:c>
      <x:c r="E298" t="str">
        <x:v>Standing Desk</x:v>
      </x:c>
      <x:c r="F298" t="str">
        <x:v>Elisa</x:v>
      </x:c>
      <x:c r="G298" t="n">
        <x:v>6</x:v>
      </x:c>
      <x:c r="H298" s="12" t="n">
        <x:v>432.39</x:v>
      </x:c>
      <x:c r="I298" s="14" t="n">
        <x:v>0.05</x:v>
      </x:c>
      <x:c r="J298" s="12" t="n">
        <x:v>272.55</x:v>
      </x:c>
      <x:c r="K298" s="12" t="n">
        <x:f>G298*H298*(1-I298)</x:f>
        <x:v>2464.623</x:v>
      </x:c>
      <x:c r="L298" s="12" t="n">
        <x:f>K298-(G298*J298)</x:f>
        <x:v>829.3229999999999</x:v>
      </x:c>
      <x:c r="M298" s="16" t="n">
        <x:f>IFERROR(L298/K298,0)</x:f>
        <x:v>0.33649081421377625</x:v>
      </x:c>
    </x:row>
    <x:row r="299">
      <x:c r="A299" t="str">
        <x:v>ORD-00298</x:v>
      </x:c>
      <x:c r="B299" s="10" t="n">
        <x:v>46061</x:v>
      </x:c>
      <x:c r="C299" t="str">
        <x:v>Southeast</x:v>
      </x:c>
      <x:c r="D299" t="str">
        <x:v>Technology</x:v>
      </x:c>
      <x:c r="E299" t="str">
        <x:v>Wireless Mouse</x:v>
      </x:c>
      <x:c r="F299" t="str">
        <x:v>Felipe</x:v>
      </x:c>
      <x:c r="G299" t="n">
        <x:v>2</x:v>
      </x:c>
      <x:c r="H299" s="12" t="n">
        <x:v>36.5</x:v>
      </x:c>
      <x:c r="I299" s="14" t="n">
        <x:v>0</x:v>
      </x:c>
      <x:c r="J299" s="12" t="n">
        <x:v>15.75</x:v>
      </x:c>
      <x:c r="K299" s="12" t="n">
        <x:f>G299*H299*(1-I299)</x:f>
        <x:v>73</x:v>
      </x:c>
      <x:c r="L299" s="12" t="n">
        <x:f>K299-(G299*J299)</x:f>
        <x:v>41.5</x:v>
      </x:c>
      <x:c r="M299" s="16" t="n">
        <x:f>IFERROR(L299/K299,0)</x:f>
        <x:v>0.5684931506849316</x:v>
      </x:c>
    </x:row>
    <x:row r="300">
      <x:c r="A300" t="str">
        <x:v>ORD-00299</x:v>
      </x:c>
      <x:c r="B300" s="10" t="n">
        <x:v>46059</x:v>
      </x:c>
      <x:c r="C300" t="str">
        <x:v>Southeast</x:v>
      </x:c>
      <x:c r="D300" t="str">
        <x:v>Accessories</x:v>
      </x:c>
      <x:c r="E300" t="str">
        <x:v>Backpack</x:v>
      </x:c>
      <x:c r="F300" t="str">
        <x:v>Felipe</x:v>
      </x:c>
      <x:c r="G300" t="n">
        <x:v>4</x:v>
      </x:c>
      <x:c r="H300" s="12" t="n">
        <x:v>84.26</x:v>
      </x:c>
      <x:c r="I300" s="14" t="n">
        <x:v>0.05</x:v>
      </x:c>
      <x:c r="J300" s="12" t="n">
        <x:v>41.37</x:v>
      </x:c>
      <x:c r="K300" s="12" t="n">
        <x:f>G300*H300*(1-I300)</x:f>
        <x:v>320.188</x:v>
      </x:c>
      <x:c r="L300" s="12" t="n">
        <x:f>K300-(G300*J300)</x:f>
        <x:v>154.708</x:v>
      </x:c>
      <x:c r="M300" s="16" t="n">
        <x:f>IFERROR(L300/K300,0)</x:f>
        <x:v>0.4831786325533749</x:v>
      </x:c>
    </x:row>
    <x:row r="301">
      <x:c r="A301" t="str">
        <x:v>ORD-00300</x:v>
      </x:c>
      <x:c r="B301" s="10" t="n">
        <x:v>46201</x:v>
      </x:c>
      <x:c r="C301" t="str">
        <x:v>South</x:v>
      </x:c>
      <x:c r="D301" t="str">
        <x:v>Technology</x:v>
      </x:c>
      <x:c r="E301" t="str">
        <x:v>Wireless Mouse</x:v>
      </x:c>
      <x:c r="F301" t="str">
        <x:v>Felipe</x:v>
      </x:c>
      <x:c r="G301" t="n">
        <x:v>1</x:v>
      </x:c>
      <x:c r="H301" s="12" t="n">
        <x:v>33.96</x:v>
      </x:c>
      <x:c r="I301" s="14" t="n">
        <x:v>0.15</x:v>
      </x:c>
      <x:c r="J301" s="12" t="n">
        <x:v>16.36</x:v>
      </x:c>
      <x:c r="K301" s="12" t="n">
        <x:f>G301*H301*(1-I301)</x:f>
        <x:v>28.866</x:v>
      </x:c>
      <x:c r="L301" s="12" t="n">
        <x:f>K301-(G301*J301)</x:f>
        <x:v>12.506</x:v>
      </x:c>
      <x:c r="M301" s="16" t="n">
        <x:f>IFERROR(L301/K301,0)</x:f>
        <x:v>0.4332432619690986</x:v>
      </x:c>
    </x:row>
    <x:row r="302">
      <x:c r="A302" t="str">
        <x:v>ORD-00301</x:v>
      </x:c>
      <x:c r="B302" s="10" t="n">
        <x:v>46050</x:v>
      </x:c>
      <x:c r="C302" t="str">
        <x:v>Northeast</x:v>
      </x:c>
      <x:c r="D302" t="str">
        <x:v>Office</x:v>
      </x:c>
      <x:c r="E302" t="str">
        <x:v>Desk Lamp</x:v>
      </x:c>
      <x:c r="F302" t="str">
        <x:v>Diego</x:v>
      </x:c>
      <x:c r="G302" t="n">
        <x:v>4</x:v>
      </x:c>
      <x:c r="H302" s="12" t="n">
        <x:v>55.53</x:v>
      </x:c>
      <x:c r="I302" s="14" t="n">
        <x:v>0.05</x:v>
      </x:c>
      <x:c r="J302" s="12" t="n">
        <x:v>23.92</x:v>
      </x:c>
      <x:c r="K302" s="12" t="n">
        <x:f>G302*H302*(1-I302)</x:f>
        <x:v>211.01399999999998</x:v>
      </x:c>
      <x:c r="L302" s="12" t="n">
        <x:f>K302-(G302*J302)</x:f>
        <x:v>115.33399999999997</x:v>
      </x:c>
      <x:c r="M302" s="16" t="n">
        <x:f>IFERROR(L302/K302,0)</x:f>
        <x:v>0.5465703697385007</x:v>
      </x:c>
    </x:row>
    <x:row r="303">
      <x:c r="A303" t="str">
        <x:v>ORD-00302</x:v>
      </x:c>
      <x:c r="B303" s="10" t="n">
        <x:v>46141</x:v>
      </x:c>
      <x:c r="C303" t="str">
        <x:v>Southeast</x:v>
      </x:c>
      <x:c r="D303" t="str">
        <x:v>Home</x:v>
      </x:c>
      <x:c r="E303" t="str">
        <x:v>Smart Lamp</x:v>
      </x:c>
      <x:c r="F303" t="str">
        <x:v>Felipe</x:v>
      </x:c>
      <x:c r="G303" t="n">
        <x:v>3</x:v>
      </x:c>
      <x:c r="H303" s="12" t="n">
        <x:v>66.25</x:v>
      </x:c>
      <x:c r="I303" s="14" t="n">
        <x:v>0</x:v>
      </x:c>
      <x:c r="J303" s="12" t="n">
        <x:v>28.99</x:v>
      </x:c>
      <x:c r="K303" s="12" t="n">
        <x:f>G303*H303*(1-I303)</x:f>
        <x:v>198.75</x:v>
      </x:c>
      <x:c r="L303" s="12" t="n">
        <x:f>K303-(G303*J303)</x:f>
        <x:v>111.78</x:v>
      </x:c>
      <x:c r="M303" s="16" t="n">
        <x:f>IFERROR(L303/K303,0)</x:f>
        <x:v>0.5624150943396227</x:v>
      </x:c>
    </x:row>
    <x:row r="304">
      <x:c r="A304" t="str">
        <x:v>ORD-00303</x:v>
      </x:c>
      <x:c r="B304" s="10" t="n">
        <x:v>46180</x:v>
      </x:c>
      <x:c r="C304" t="str">
        <x:v>North</x:v>
      </x:c>
      <x:c r="D304" t="str">
        <x:v>Home</x:v>
      </x:c>
      <x:c r="E304" t="str">
        <x:v>Smart Lamp</x:v>
      </x:c>
      <x:c r="F304" t="str">
        <x:v>Felipe</x:v>
      </x:c>
      <x:c r="G304" t="n">
        <x:v>7</x:v>
      </x:c>
      <x:c r="H304" s="12" t="n">
        <x:v>66.52</x:v>
      </x:c>
      <x:c r="I304" s="14" t="n">
        <x:v>0.05</x:v>
      </x:c>
      <x:c r="J304" s="12" t="n">
        <x:v>28.72</x:v>
      </x:c>
      <x:c r="K304" s="12" t="n">
        <x:f>G304*H304*(1-I304)</x:f>
        <x:v>442.35799999999995</x:v>
      </x:c>
      <x:c r="L304" s="12" t="n">
        <x:f>K304-(G304*J304)</x:f>
        <x:v>241.31799999999996</x:v>
      </x:c>
      <x:c r="M304" s="16" t="n">
        <x:f>IFERROR(L304/K304,0)</x:f>
        <x:v>0.5455264740323448</x:v>
      </x:c>
    </x:row>
    <x:row r="305">
      <x:c r="A305" t="str">
        <x:v>ORD-00304</x:v>
      </x:c>
      <x:c r="B305" s="10" t="n">
        <x:v>46230</x:v>
      </x:c>
      <x:c r="C305" t="str">
        <x:v>Midwest</x:v>
      </x:c>
      <x:c r="D305" t="str">
        <x:v>Technology</x:v>
      </x:c>
      <x:c r="E305" t="str">
        <x:v>Monitor 27</x:v>
      </x:c>
      <x:c r="F305" t="str">
        <x:v>Felipe</x:v>
      </x:c>
      <x:c r="G305" t="n">
        <x:v>3</x:v>
      </x:c>
      <x:c r="H305" s="12" t="n">
        <x:v>283.54</x:v>
      </x:c>
      <x:c r="I305" s="14" t="n">
        <x:v>0.05</x:v>
      </x:c>
      <x:c r="J305" s="12" t="n">
        <x:v>177.43</x:v>
      </x:c>
      <x:c r="K305" s="12" t="n">
        <x:f>G305*H305*(1-I305)</x:f>
        <x:v>808.089</x:v>
      </x:c>
      <x:c r="L305" s="12" t="n">
        <x:f>K305-(G305*J305)</x:f>
        <x:v>275.7990000000001</x:v>
      </x:c>
      <x:c r="M305" s="16" t="n">
        <x:f>IFERROR(L305/K305,0)</x:f>
        <x:v>0.3412978025935263</x:v>
      </x:c>
    </x:row>
    <x:row r="306">
      <x:c r="A306" t="str">
        <x:v>ORD-00305</x:v>
      </x:c>
      <x:c r="B306" s="10" t="n">
        <x:v>46243</x:v>
      </x:c>
      <x:c r="C306" t="str">
        <x:v>South</x:v>
      </x:c>
      <x:c r="D306" t="str">
        <x:v>Accessories</x:v>
      </x:c>
      <x:c r="E306" t="str">
        <x:v>Webcam HD</x:v>
      </x:c>
      <x:c r="F306" t="str">
        <x:v>Diego</x:v>
      </x:c>
      <x:c r="G306" t="n">
        <x:v>7</x:v>
      </x:c>
      <x:c r="H306" s="12" t="n">
        <x:v>96.22</x:v>
      </x:c>
      <x:c r="I306" s="14" t="n">
        <x:v>0.1</x:v>
      </x:c>
      <x:c r="J306" s="12" t="n">
        <x:v>47.88</x:v>
      </x:c>
      <x:c r="K306" s="12" t="n">
        <x:f>G306*H306*(1-I306)</x:f>
        <x:v>606.186</x:v>
      </x:c>
      <x:c r="L306" s="12" t="n">
        <x:f>K306-(G306*J306)</x:f>
        <x:v>271.026</x:v>
      </x:c>
      <x:c r="M306" s="16" t="n">
        <x:f>IFERROR(L306/K306,0)</x:f>
        <x:v>0.44710039492828935</x:v>
      </x:c>
    </x:row>
    <x:row r="307">
      <x:c r="A307" t="str">
        <x:v>ORD-00306</x:v>
      </x:c>
      <x:c r="B307" s="10" t="n">
        <x:v>46181</x:v>
      </x:c>
      <x:c r="C307" t="str">
        <x:v>Southeast</x:v>
      </x:c>
      <x:c r="D307" t="str">
        <x:v>Accessories</x:v>
      </x:c>
      <x:c r="E307" t="str">
        <x:v>Webcam HD</x:v>
      </x:c>
      <x:c r="F307" t="str">
        <x:v>Ana</x:v>
      </x:c>
      <x:c r="G307" t="n">
        <x:v>2</x:v>
      </x:c>
      <x:c r="H307" s="12" t="n">
        <x:v>93.88</x:v>
      </x:c>
      <x:c r="I307" s="14" t="n">
        <x:v>0.1</x:v>
      </x:c>
      <x:c r="J307" s="12" t="n">
        <x:v>47.61</x:v>
      </x:c>
      <x:c r="K307" s="12" t="n">
        <x:f>G307*H307*(1-I307)</x:f>
        <x:v>168.984</x:v>
      </x:c>
      <x:c r="L307" s="12" t="n">
        <x:f>K307-(G307*J307)</x:f>
        <x:v>73.76400000000001</x:v>
      </x:c>
      <x:c r="M307" s="16" t="n">
        <x:f>IFERROR(L307/K307,0)</x:f>
        <x:v>0.4365146996165318</x:v>
      </x:c>
    </x:row>
    <x:row r="308">
      <x:c r="A308" t="str">
        <x:v>ORD-00307</x:v>
      </x:c>
      <x:c r="B308" s="10" t="n">
        <x:v>46069</x:v>
      </x:c>
      <x:c r="C308" t="str">
        <x:v>South</x:v>
      </x:c>
      <x:c r="D308" t="str">
        <x:v>Office</x:v>
      </x:c>
      <x:c r="E308" t="str">
        <x:v>Desk Lamp</x:v>
      </x:c>
      <x:c r="F308" t="str">
        <x:v>Bruno</x:v>
      </x:c>
      <x:c r="G308" t="n">
        <x:v>7</x:v>
      </x:c>
      <x:c r="H308" s="12" t="n">
        <x:v>53.48</x:v>
      </x:c>
      <x:c r="I308" s="14" t="n">
        <x:v>0.05</x:v>
      </x:c>
      <x:c r="J308" s="12" t="n">
        <x:v>23.98</x:v>
      </x:c>
      <x:c r="K308" s="12" t="n">
        <x:f>G308*H308*(1-I308)</x:f>
        <x:v>355.64199999999994</x:v>
      </x:c>
      <x:c r="L308" s="12" t="n">
        <x:f>K308-(G308*J308)</x:f>
        <x:v>187.78199999999993</x:v>
      </x:c>
      <x:c r="M308" s="16" t="n">
        <x:f>IFERROR(L308/K308,0)</x:f>
        <x:v>0.5280085029327244</x:v>
      </x:c>
    </x:row>
    <x:row r="309">
      <x:c r="A309" t="str">
        <x:v>ORD-00308</x:v>
      </x:c>
      <x:c r="B309" s="10" t="n">
        <x:v>46147</x:v>
      </x:c>
      <x:c r="C309" t="str">
        <x:v>Northeast</x:v>
      </x:c>
      <x:c r="D309" t="str">
        <x:v>Office</x:v>
      </x:c>
      <x:c r="E309" t="str">
        <x:v>Desk Lamp</x:v>
      </x:c>
      <x:c r="F309" t="str">
        <x:v>Diego</x:v>
      </x:c>
      <x:c r="G309" t="n">
        <x:v>3</x:v>
      </x:c>
      <x:c r="H309" s="12" t="n">
        <x:v>53.49</x:v>
      </x:c>
      <x:c r="I309" s="14" t="n">
        <x:v>0.05</x:v>
      </x:c>
      <x:c r="J309" s="12" t="n">
        <x:v>23.9</x:v>
      </x:c>
      <x:c r="K309" s="12" t="n">
        <x:f>G309*H309*(1-I309)</x:f>
        <x:v>152.4465</x:v>
      </x:c>
      <x:c r="L309" s="12" t="n">
        <x:f>K309-(G309*J309)</x:f>
        <x:v>80.7465</x:v>
      </x:c>
      <x:c r="M309" s="16" t="n">
        <x:f>IFERROR(L309/K309,0)</x:f>
        <x:v>0.5296710649309758</x:v>
      </x:c>
    </x:row>
    <x:row r="310">
      <x:c r="A310" t="str">
        <x:v>ORD-00309</x:v>
      </x:c>
      <x:c r="B310" s="10" t="n">
        <x:v>46181</x:v>
      </x:c>
      <x:c r="C310" t="str">
        <x:v>Southeast</x:v>
      </x:c>
      <x:c r="D310" t="str">
        <x:v>Accessories</x:v>
      </x:c>
      <x:c r="E310" t="str">
        <x:v>USB-C Hub</x:v>
      </x:c>
      <x:c r="F310" t="str">
        <x:v>Elisa</x:v>
      </x:c>
      <x:c r="G310" t="n">
        <x:v>8</x:v>
      </x:c>
      <x:c r="H310" s="12" t="n">
        <x:v>72.34</x:v>
      </x:c>
      <x:c r="I310" s="14" t="n">
        <x:v>0</x:v>
      </x:c>
      <x:c r="J310" s="12" t="n">
        <x:v>32.9</x:v>
      </x:c>
      <x:c r="K310" s="12" t="n">
        <x:f>G310*H310*(1-I310)</x:f>
        <x:v>578.72</x:v>
      </x:c>
      <x:c r="L310" s="12" t="n">
        <x:f>K310-(G310*J310)</x:f>
        <x:v>315.52000000000004</x:v>
      </x:c>
      <x:c r="M310" s="16" t="n">
        <x:f>IFERROR(L310/K310,0)</x:f>
        <x:v>0.5452032070776888</x:v>
      </x:c>
    </x:row>
    <x:row r="311">
      <x:c r="A311" t="str">
        <x:v>ORD-00310</x:v>
      </x:c>
      <x:c r="B311" s="10" t="n">
        <x:v>46190</x:v>
      </x:c>
      <x:c r="C311" t="str">
        <x:v>South</x:v>
      </x:c>
      <x:c r="D311" t="str">
        <x:v>Home</x:v>
      </x:c>
      <x:c r="E311" t="str">
        <x:v>Coffee Maker</x:v>
      </x:c>
      <x:c r="F311" t="str">
        <x:v>Bruno</x:v>
      </x:c>
      <x:c r="G311" t="n">
        <x:v>8</x:v>
      </x:c>
      <x:c r="H311" s="12" t="n">
        <x:v>120.93</x:v>
      </x:c>
      <x:c r="I311" s="14" t="n">
        <x:v>0.05</x:v>
      </x:c>
      <x:c r="J311" s="12" t="n">
        <x:v>70.67</x:v>
      </x:c>
      <x:c r="K311" s="12" t="n">
        <x:f>G311*H311*(1-I311)</x:f>
        <x:v>919.068</x:v>
      </x:c>
      <x:c r="L311" s="12" t="n">
        <x:f>K311-(G311*J311)</x:f>
        <x:v>353.70799999999997</x:v>
      </x:c>
      <x:c r="M311" s="16" t="n">
        <x:f>IFERROR(L311/K311,0)</x:f>
        <x:v>0.3848550923326674</x:v>
      </x:c>
    </x:row>
    <x:row r="312">
      <x:c r="A312" t="str">
        <x:v>ORD-00311</x:v>
      </x:c>
      <x:c r="B312" s="10" t="n">
        <x:v>46097</x:v>
      </x:c>
      <x:c r="C312" t="str">
        <x:v>Southeast</x:v>
      </x:c>
      <x:c r="D312" t="str">
        <x:v>Office</x:v>
      </x:c>
      <x:c r="E312" t="str">
        <x:v>Desk Lamp</x:v>
      </x:c>
      <x:c r="F312" t="str">
        <x:v>Diego</x:v>
      </x:c>
      <x:c r="G312" t="n">
        <x:v>5</x:v>
      </x:c>
      <x:c r="H312" s="12" t="n">
        <x:v>55.06</x:v>
      </x:c>
      <x:c r="I312" s="14" t="n">
        <x:v>0</x:v>
      </x:c>
      <x:c r="J312" s="12" t="n">
        <x:v>24.41</x:v>
      </x:c>
      <x:c r="K312" s="12" t="n">
        <x:f>G312*H312*(1-I312)</x:f>
        <x:v>275.3</x:v>
      </x:c>
      <x:c r="L312" s="12" t="n">
        <x:f>K312-(G312*J312)</x:f>
        <x:v>153.25</x:v>
      </x:c>
      <x:c r="M312" s="16" t="n">
        <x:f>IFERROR(L312/K312,0)</x:f>
        <x:v>0.5566654558663277</x:v>
      </x:c>
    </x:row>
    <x:row r="313">
      <x:c r="A313" t="str">
        <x:v>ORD-00312</x:v>
      </x:c>
      <x:c r="B313" s="10" t="n">
        <x:v>46163</x:v>
      </x:c>
      <x:c r="C313" t="str">
        <x:v>South</x:v>
      </x:c>
      <x:c r="D313" t="str">
        <x:v>Technology</x:v>
      </x:c>
      <x:c r="E313" t="str">
        <x:v>Wireless Mouse</x:v>
      </x:c>
      <x:c r="F313" t="str">
        <x:v>Diego</x:v>
      </x:c>
      <x:c r="G313" t="n">
        <x:v>6</x:v>
      </x:c>
      <x:c r="H313" s="12" t="n">
        <x:v>35.98</x:v>
      </x:c>
      <x:c r="I313" s="14" t="n">
        <x:v>0.05</x:v>
      </x:c>
      <x:c r="J313" s="12" t="n">
        <x:v>16.29</x:v>
      </x:c>
      <x:c r="K313" s="12" t="n">
        <x:f>G313*H313*(1-I313)</x:f>
        <x:v>205.08599999999998</x:v>
      </x:c>
      <x:c r="L313" s="12" t="n">
        <x:f>K313-(G313*J313)</x:f>
        <x:v>107.34599999999999</x:v>
      </x:c>
      <x:c r="M313" s="16" t="n">
        <x:f>IFERROR(L313/K313,0)</x:f>
        <x:v>0.5234194435505105</x:v>
      </x:c>
    </x:row>
    <x:row r="314">
      <x:c r="A314" t="str">
        <x:v>ORD-00313</x:v>
      </x:c>
      <x:c r="B314" s="10" t="n">
        <x:v>46162</x:v>
      </x:c>
      <x:c r="C314" t="str">
        <x:v>Southeast</x:v>
      </x:c>
      <x:c r="D314" t="str">
        <x:v>Home</x:v>
      </x:c>
      <x:c r="E314" t="str">
        <x:v>Air Purifier</x:v>
      </x:c>
      <x:c r="F314" t="str">
        <x:v>Carla</x:v>
      </x:c>
      <x:c r="G314" t="n">
        <x:v>4</x:v>
      </x:c>
      <x:c r="H314" s="12" t="n">
        <x:v>188.99</x:v>
      </x:c>
      <x:c r="I314" s="14" t="n">
        <x:v>0</x:v>
      </x:c>
      <x:c r="J314" s="12" t="n">
        <x:v>110.27</x:v>
      </x:c>
      <x:c r="K314" s="12" t="n">
        <x:f>G314*H314*(1-I314)</x:f>
        <x:v>755.96</x:v>
      </x:c>
      <x:c r="L314" s="12" t="n">
        <x:f>K314-(G314*J314)</x:f>
        <x:v>314.88000000000005</x:v>
      </x:c>
      <x:c r="M314" s="16" t="n">
        <x:f>IFERROR(L314/K314,0)</x:f>
        <x:v>0.41652997513095935</x:v>
      </x:c>
    </x:row>
    <x:row r="315">
      <x:c r="A315" t="str">
        <x:v>ORD-00314</x:v>
      </x:c>
      <x:c r="B315" s="10" t="n">
        <x:v>46243</x:v>
      </x:c>
      <x:c r="C315" t="str">
        <x:v>Midwest</x:v>
      </x:c>
      <x:c r="D315" t="str">
        <x:v>Home</x:v>
      </x:c>
      <x:c r="E315" t="str">
        <x:v>Air Purifier</x:v>
      </x:c>
      <x:c r="F315" t="str">
        <x:v>Felipe</x:v>
      </x:c>
      <x:c r="G315" t="n">
        <x:v>4</x:v>
      </x:c>
      <x:c r="H315" s="12" t="n">
        <x:v>184.75</x:v>
      </x:c>
      <x:c r="I315" s="14" t="n">
        <x:v>0</x:v>
      </x:c>
      <x:c r="J315" s="12" t="n">
        <x:v>111.59</x:v>
      </x:c>
      <x:c r="K315" s="12" t="n">
        <x:f>G315*H315*(1-I315)</x:f>
        <x:v>739</x:v>
      </x:c>
      <x:c r="L315" s="12" t="n">
        <x:f>K315-(G315*J315)</x:f>
        <x:v>292.64</x:v>
      </x:c>
      <x:c r="M315" s="16" t="n">
        <x:f>IFERROR(L315/K315,0)</x:f>
        <x:v>0.3959945872801082</x:v>
      </x:c>
    </x:row>
    <x:row r="316">
      <x:c r="A316" t="str">
        <x:v>ORD-00315</x:v>
      </x:c>
      <x:c r="B316" s="10" t="n">
        <x:v>46179</x:v>
      </x:c>
      <x:c r="C316" t="str">
        <x:v>Northeast</x:v>
      </x:c>
      <x:c r="D316" t="str">
        <x:v>Office</x:v>
      </x:c>
      <x:c r="E316" t="str">
        <x:v>Desk Lamp</x:v>
      </x:c>
      <x:c r="F316" t="str">
        <x:v>Elisa</x:v>
      </x:c>
      <x:c r="G316" t="n">
        <x:v>3</x:v>
      </x:c>
      <x:c r="H316" s="12" t="n">
        <x:v>56.83</x:v>
      </x:c>
      <x:c r="I316" s="14" t="n">
        <x:v>0.1</x:v>
      </x:c>
      <x:c r="J316" s="12" t="n">
        <x:v>24.49</x:v>
      </x:c>
      <x:c r="K316" s="12" t="n">
        <x:f>G316*H316*(1-I316)</x:f>
        <x:v>153.441</x:v>
      </x:c>
      <x:c r="L316" s="12" t="n">
        <x:f>K316-(G316*J316)</x:f>
        <x:v>79.971</x:v>
      </x:c>
      <x:c r="M316" s="16" t="n">
        <x:f>IFERROR(L316/K316,0)</x:f>
        <x:v>0.5211840381645062</x:v>
      </x:c>
    </x:row>
    <x:row r="317">
      <x:c r="A317" t="str">
        <x:v>ORD-00316</x:v>
      </x:c>
      <x:c r="B317" s="10" t="n">
        <x:v>46112</x:v>
      </x:c>
      <x:c r="C317" t="str">
        <x:v>South</x:v>
      </x:c>
      <x:c r="D317" t="str">
        <x:v>Office</x:v>
      </x:c>
      <x:c r="E317" t="str">
        <x:v>Standing Desk</x:v>
      </x:c>
      <x:c r="F317" t="str">
        <x:v>Felipe</x:v>
      </x:c>
      <x:c r="G317" t="n">
        <x:v>5</x:v>
      </x:c>
      <x:c r="H317" s="12" t="n">
        <x:v>413.31</x:v>
      </x:c>
      <x:c r="I317" s="14" t="n">
        <x:v>0</x:v>
      </x:c>
      <x:c r="J317" s="12" t="n">
        <x:v>276.18</x:v>
      </x:c>
      <x:c r="K317" s="12" t="n">
        <x:f>G317*H317*(1-I317)</x:f>
        <x:v>2066.55</x:v>
      </x:c>
      <x:c r="L317" s="12" t="n">
        <x:f>K317-(G317*J317)</x:f>
        <x:v>685.6500000000001</x:v>
      </x:c>
      <x:c r="M317" s="16" t="n">
        <x:f>IFERROR(L317/K317,0)</x:f>
        <x:v>0.3317848588226755</x:v>
      </x:c>
    </x:row>
    <x:row r="318">
      <x:c r="A318" t="str">
        <x:v>ORD-00317</x:v>
      </x:c>
      <x:c r="B318" s="10" t="n">
        <x:v>46231</x:v>
      </x:c>
      <x:c r="C318" t="str">
        <x:v>Southeast</x:v>
      </x:c>
      <x:c r="D318" t="str">
        <x:v>Home</x:v>
      </x:c>
      <x:c r="E318" t="str">
        <x:v>Air Purifier</x:v>
      </x:c>
      <x:c r="F318" t="str">
        <x:v>Bruno</x:v>
      </x:c>
      <x:c r="G318" t="n">
        <x:v>5</x:v>
      </x:c>
      <x:c r="H318" s="12" t="n">
        <x:v>174.86</x:v>
      </x:c>
      <x:c r="I318" s="14" t="n">
        <x:v>0.15</x:v>
      </x:c>
      <x:c r="J318" s="12" t="n">
        <x:v>112.56</x:v>
      </x:c>
      <x:c r="K318" s="12" t="n">
        <x:f>G318*H318*(1-I318)</x:f>
        <x:v>743.1550000000001</x:v>
      </x:c>
      <x:c r="L318" s="12" t="n">
        <x:f>K318-(G318*J318)</x:f>
        <x:v>180.35500000000013</x:v>
      </x:c>
      <x:c r="M318" s="16" t="n">
        <x:f>IFERROR(L318/K318,0)</x:f>
        <x:v>0.2426882682616683</x:v>
      </x:c>
    </x:row>
    <x:row r="319">
      <x:c r="A319" t="str">
        <x:v>ORD-00318</x:v>
      </x:c>
      <x:c r="B319" s="10" t="n">
        <x:v>46060</x:v>
      </x:c>
      <x:c r="C319" t="str">
        <x:v>Northeast</x:v>
      </x:c>
      <x:c r="D319" t="str">
        <x:v>Office</x:v>
      </x:c>
      <x:c r="E319" t="str">
        <x:v>Desk Lamp</x:v>
      </x:c>
      <x:c r="F319" t="str">
        <x:v>Diego</x:v>
      </x:c>
      <x:c r="G319" t="n">
        <x:v>7</x:v>
      </x:c>
      <x:c r="H319" s="12" t="n">
        <x:v>55.66</x:v>
      </x:c>
      <x:c r="I319" s="14" t="n">
        <x:v>0.05</x:v>
      </x:c>
      <x:c r="J319" s="12" t="n">
        <x:v>23.84</x:v>
      </x:c>
      <x:c r="K319" s="12" t="n">
        <x:f>G319*H319*(1-I319)</x:f>
        <x:v>370.139</x:v>
      </x:c>
      <x:c r="L319" s="12" t="n">
        <x:f>K319-(G319*J319)</x:f>
        <x:v>203.25900000000001</x:v>
      </x:c>
      <x:c r="M319" s="16" t="n">
        <x:f>IFERROR(L319/K319,0)</x:f>
        <x:v>0.5491423492255613</x:v>
      </x:c>
    </x:row>
    <x:row r="320">
      <x:c r="A320" t="str">
        <x:v>ORD-00319</x:v>
      </x:c>
      <x:c r="B320" s="10" t="n">
        <x:v>46119</x:v>
      </x:c>
      <x:c r="C320" t="str">
        <x:v>South</x:v>
      </x:c>
      <x:c r="D320" t="str">
        <x:v>Technology</x:v>
      </x:c>
      <x:c r="E320" t="str">
        <x:v>Wireless Mouse</x:v>
      </x:c>
      <x:c r="F320" t="str">
        <x:v>Diego</x:v>
      </x:c>
      <x:c r="G320" t="n">
        <x:v>5</x:v>
      </x:c>
      <x:c r="H320" s="12" t="n">
        <x:v>36.36</x:v>
      </x:c>
      <x:c r="I320" s="14" t="n">
        <x:v>0.1</x:v>
      </x:c>
      <x:c r="J320" s="12" t="n">
        <x:v>16.04</x:v>
      </x:c>
      <x:c r="K320" s="12" t="n">
        <x:f>G320*H320*(1-I320)</x:f>
        <x:v>163.62</x:v>
      </x:c>
      <x:c r="L320" s="12" t="n">
        <x:f>K320-(G320*J320)</x:f>
        <x:v>83.42000000000002</x:v>
      </x:c>
      <x:c r="M320" s="16" t="n">
        <x:f>IFERROR(L320/K320,0)</x:f>
        <x:v>0.5098398728761766</x:v>
      </x:c>
    </x:row>
    <x:row r="321">
      <x:c r="A321" t="str">
        <x:v>ORD-00320</x:v>
      </x:c>
      <x:c r="B321" s="10" t="n">
        <x:v>46106</x:v>
      </x:c>
      <x:c r="C321" t="str">
        <x:v>Northeast</x:v>
      </x:c>
      <x:c r="D321" t="str">
        <x:v>Technology</x:v>
      </x:c>
      <x:c r="E321" t="str">
        <x:v>Monitor 27</x:v>
      </x:c>
      <x:c r="F321" t="str">
        <x:v>Elisa</x:v>
      </x:c>
      <x:c r="G321" t="n">
        <x:v>8</x:v>
      </x:c>
      <x:c r="H321" s="12" t="n">
        <x:v>296.6</x:v>
      </x:c>
      <x:c r="I321" s="14" t="n">
        <x:v>0.1</x:v>
      </x:c>
      <x:c r="J321" s="12" t="n">
        <x:v>184.05</x:v>
      </x:c>
      <x:c r="K321" s="12" t="n">
        <x:f>G321*H321*(1-I321)</x:f>
        <x:v>2135.5200000000004</x:v>
      </x:c>
      <x:c r="L321" s="12" t="n">
        <x:f>K321-(G321*J321)</x:f>
        <x:v>663.1200000000003</x:v>
      </x:c>
      <x:c r="M321" s="16" t="n">
        <x:f>IFERROR(L321/K321,0)</x:f>
        <x:v>0.3105192178017533</x:v>
      </x:c>
    </x:row>
    <x:row r="322">
      <x:c r="A322" t="str">
        <x:v>ORD-00321</x:v>
      </x:c>
      <x:c r="B322" s="10" t="n">
        <x:v>46124</x:v>
      </x:c>
      <x:c r="C322" t="str">
        <x:v>Southeast</x:v>
      </x:c>
      <x:c r="D322" t="str">
        <x:v>Home</x:v>
      </x:c>
      <x:c r="E322" t="str">
        <x:v>Air Purifier</x:v>
      </x:c>
      <x:c r="F322" t="str">
        <x:v>Elisa</x:v>
      </x:c>
      <x:c r="G322" t="n">
        <x:v>8</x:v>
      </x:c>
      <x:c r="H322" s="12" t="n">
        <x:v>186.22</x:v>
      </x:c>
      <x:c r="I322" s="14" t="n">
        <x:v>0</x:v>
      </x:c>
      <x:c r="J322" s="12" t="n">
        <x:v>109.66</x:v>
      </x:c>
      <x:c r="K322" s="12" t="n">
        <x:f>G322*H322*(1-I322)</x:f>
        <x:v>1489.76</x:v>
      </x:c>
      <x:c r="L322" s="12" t="n">
        <x:f>K322-(G322*J322)</x:f>
        <x:v>612.48</x:v>
      </x:c>
      <x:c r="M322" s="16" t="n">
        <x:f>IFERROR(L322/K322,0)</x:f>
        <x:v>0.41112662442272585</x:v>
      </x:c>
    </x:row>
    <x:row r="323">
      <x:c r="A323" t="str">
        <x:v>ORD-00322</x:v>
      </x:c>
      <x:c r="B323" s="10" t="n">
        <x:v>46056</x:v>
      </x:c>
      <x:c r="C323" t="str">
        <x:v>Northeast</x:v>
      </x:c>
      <x:c r="D323" t="str">
        <x:v>Home</x:v>
      </x:c>
      <x:c r="E323" t="str">
        <x:v>Coffee Maker</x:v>
      </x:c>
      <x:c r="F323" t="str">
        <x:v>Ana</x:v>
      </x:c>
      <x:c r="G323" t="n">
        <x:v>1</x:v>
      </x:c>
      <x:c r="H323" s="12" t="n">
        <x:v>127.04</x:v>
      </x:c>
      <x:c r="I323" s="14" t="n">
        <x:v>0</x:v>
      </x:c>
      <x:c r="J323" s="12" t="n">
        <x:v>73.57</x:v>
      </x:c>
      <x:c r="K323" s="12" t="n">
        <x:f>G323*H323*(1-I323)</x:f>
        <x:v>127.04</x:v>
      </x:c>
      <x:c r="L323" s="12" t="n">
        <x:f>K323-(G323*J323)</x:f>
        <x:v>53.47000000000001</x:v>
      </x:c>
      <x:c r="M323" s="16" t="n">
        <x:f>IFERROR(L323/K323,0)</x:f>
        <x:v>0.42089105793450887</x:v>
      </x:c>
    </x:row>
    <x:row r="324">
      <x:c r="A324" t="str">
        <x:v>ORD-00323</x:v>
      </x:c>
      <x:c r="B324" s="10" t="n">
        <x:v>46054</x:v>
      </x:c>
      <x:c r="C324" t="str">
        <x:v>North</x:v>
      </x:c>
      <x:c r="D324" t="str">
        <x:v>Office</x:v>
      </x:c>
      <x:c r="E324" t="str">
        <x:v>Standing Desk</x:v>
      </x:c>
      <x:c r="F324" t="str">
        <x:v>Felipe</x:v>
      </x:c>
      <x:c r="G324" t="n">
        <x:v>8</x:v>
      </x:c>
      <x:c r="H324" s="12" t="n">
        <x:v>439.41</x:v>
      </x:c>
      <x:c r="I324" s="14" t="n">
        <x:v>0</x:v>
      </x:c>
      <x:c r="J324" s="12" t="n">
        <x:v>267.33</x:v>
      </x:c>
      <x:c r="K324" s="12" t="n">
        <x:f>G324*H324*(1-I324)</x:f>
        <x:v>3515.28</x:v>
      </x:c>
      <x:c r="L324" s="12" t="n">
        <x:f>K324-(G324*J324)</x:f>
        <x:v>1376.6400000000003</x:v>
      </x:c>
      <x:c r="M324" s="16" t="n">
        <x:f>IFERROR(L324/K324,0)</x:f>
        <x:v>0.39161603058646827</x:v>
      </x:c>
    </x:row>
    <x:row r="325">
      <x:c r="A325" t="str">
        <x:v>ORD-00324</x:v>
      </x:c>
      <x:c r="B325" s="10" t="n">
        <x:v>46255</x:v>
      </x:c>
      <x:c r="C325" t="str">
        <x:v>Southeast</x:v>
      </x:c>
      <x:c r="D325" t="str">
        <x:v>Accessories</x:v>
      </x:c>
      <x:c r="E325" t="str">
        <x:v>USB-C Hub</x:v>
      </x:c>
      <x:c r="F325" t="str">
        <x:v>Felipe</x:v>
      </x:c>
      <x:c r="G325" t="n">
        <x:v>5</x:v>
      </x:c>
      <x:c r="H325" s="12" t="n">
        <x:v>69.47</x:v>
      </x:c>
      <x:c r="I325" s="14" t="n">
        <x:v>0</x:v>
      </x:c>
      <x:c r="J325" s="12" t="n">
        <x:v>31.49</x:v>
      </x:c>
      <x:c r="K325" s="12" t="n">
        <x:f>G325*H325*(1-I325)</x:f>
        <x:v>347.35</x:v>
      </x:c>
      <x:c r="L325" s="12" t="n">
        <x:f>K325-(G325*J325)</x:f>
        <x:v>189.90000000000003</x:v>
      </x:c>
      <x:c r="M325" s="16" t="n">
        <x:f>IFERROR(L325/K325,0)</x:f>
        <x:v>0.5467108104217648</x:v>
      </x:c>
    </x:row>
    <x:row r="326">
      <x:c r="A326" t="str">
        <x:v>ORD-00325</x:v>
      </x:c>
      <x:c r="B326" s="10" t="n">
        <x:v>46254</x:v>
      </x:c>
      <x:c r="C326" t="str">
        <x:v>Northeast</x:v>
      </x:c>
      <x:c r="D326" t="str">
        <x:v>Technology</x:v>
      </x:c>
      <x:c r="E326" t="str">
        <x:v>Wireless Mouse</x:v>
      </x:c>
      <x:c r="F326" t="str">
        <x:v>Ana</x:v>
      </x:c>
      <x:c r="G326" t="n">
        <x:v>5</x:v>
      </x:c>
      <x:c r="H326" s="12" t="n">
        <x:v>35.98</x:v>
      </x:c>
      <x:c r="I326" s="14" t="n">
        <x:v>0.1</x:v>
      </x:c>
      <x:c r="J326" s="12" t="n">
        <x:v>16.02</x:v>
      </x:c>
      <x:c r="K326" s="12" t="n">
        <x:f>G326*H326*(1-I326)</x:f>
        <x:v>161.91</x:v>
      </x:c>
      <x:c r="L326" s="12" t="n">
        <x:f>K326-(G326*J326)</x:f>
        <x:v>81.81</x:v>
      </x:c>
      <x:c r="M326" s="16" t="n">
        <x:f>IFERROR(L326/K326,0)</x:f>
        <x:v>0.5052807115063924</x:v>
      </x:c>
    </x:row>
    <x:row r="327">
      <x:c r="A327" t="str">
        <x:v>ORD-00326</x:v>
      </x:c>
      <x:c r="B327" s="10" t="n">
        <x:v>46203</x:v>
      </x:c>
      <x:c r="C327" t="str">
        <x:v>Southeast</x:v>
      </x:c>
      <x:c r="D327" t="str">
        <x:v>Office</x:v>
      </x:c>
      <x:c r="E327" t="str">
        <x:v>Standing Desk</x:v>
      </x:c>
      <x:c r="F327" t="str">
        <x:v>Ana</x:v>
      </x:c>
      <x:c r="G327" t="n">
        <x:v>2</x:v>
      </x:c>
      <x:c r="H327" s="12" t="n">
        <x:v>411.75</x:v>
      </x:c>
      <x:c r="I327" s="14" t="n">
        <x:v>0</x:v>
      </x:c>
      <x:c r="J327" s="12" t="n">
        <x:v>273.78</x:v>
      </x:c>
      <x:c r="K327" s="12" t="n">
        <x:f>G327*H327*(1-I327)</x:f>
        <x:v>823.5</x:v>
      </x:c>
      <x:c r="L327" s="12" t="n">
        <x:f>K327-(G327*J327)</x:f>
        <x:v>275.94000000000005</x:v>
      </x:c>
      <x:c r="M327" s="16" t="n">
        <x:f>IFERROR(L327/K327,0)</x:f>
        <x:v>0.33508196721311484</x:v>
      </x:c>
    </x:row>
    <x:row r="328">
      <x:c r="A328" t="str">
        <x:v>ORD-00327</x:v>
      </x:c>
      <x:c r="B328" s="10" t="n">
        <x:v>46025</x:v>
      </x:c>
      <x:c r="C328" t="str">
        <x:v>Northeast</x:v>
      </x:c>
      <x:c r="D328" t="str">
        <x:v>Technology</x:v>
      </x:c>
      <x:c r="E328" t="str">
        <x:v>Wireless Mouse</x:v>
      </x:c>
      <x:c r="F328" t="str">
        <x:v>Ana</x:v>
      </x:c>
      <x:c r="G328" t="n">
        <x:v>3</x:v>
      </x:c>
      <x:c r="H328" s="12" t="n">
        <x:v>34.32</x:v>
      </x:c>
      <x:c r="I328" s="14" t="n">
        <x:v>0.05</x:v>
      </x:c>
      <x:c r="J328" s="12" t="n">
        <x:v>15.75</x:v>
      </x:c>
      <x:c r="K328" s="12" t="n">
        <x:f>G328*H328*(1-I328)</x:f>
        <x:v>97.812</x:v>
      </x:c>
      <x:c r="L328" s="12" t="n">
        <x:f>K328-(G328*J328)</x:f>
        <x:v>50.562</x:v>
      </x:c>
      <x:c r="M328" s="16" t="n">
        <x:f>IFERROR(L328/K328,0)</x:f>
        <x:v>0.5169304379830696</x:v>
      </x:c>
    </x:row>
    <x:row r="329">
      <x:c r="A329" t="str">
        <x:v>ORD-00328</x:v>
      </x:c>
      <x:c r="B329" s="10" t="n">
        <x:v>46049</x:v>
      </x:c>
      <x:c r="C329" t="str">
        <x:v>Southeast</x:v>
      </x:c>
      <x:c r="D329" t="str">
        <x:v>Accessories</x:v>
      </x:c>
      <x:c r="E329" t="str">
        <x:v>USB-C Hub</x:v>
      </x:c>
      <x:c r="F329" t="str">
        <x:v>Felipe</x:v>
      </x:c>
      <x:c r="G329" t="n">
        <x:v>7</x:v>
      </x:c>
      <x:c r="H329" s="12" t="n">
        <x:v>71.94</x:v>
      </x:c>
      <x:c r="I329" s="14" t="n">
        <x:v>0.1</x:v>
      </x:c>
      <x:c r="J329" s="12" t="n">
        <x:v>31.57</x:v>
      </x:c>
      <x:c r="K329" s="12" t="n">
        <x:f>G329*H329*(1-I329)</x:f>
        <x:v>453.222</x:v>
      </x:c>
      <x:c r="L329" s="12" t="n">
        <x:f>K329-(G329*J329)</x:f>
        <x:v>232.23199999999997</x:v>
      </x:c>
      <x:c r="M329" s="16" t="n">
        <x:f>IFERROR(L329/K329,0)</x:f>
        <x:v>0.5124023105674481</x:v>
      </x:c>
    </x:row>
    <x:row r="330">
      <x:c r="A330" t="str">
        <x:v>ORD-00329</x:v>
      </x:c>
      <x:c r="B330" s="10" t="n">
        <x:v>46059</x:v>
      </x:c>
      <x:c r="C330" t="str">
        <x:v>Southeast</x:v>
      </x:c>
      <x:c r="D330" t="str">
        <x:v>Technology</x:v>
      </x:c>
      <x:c r="E330" t="str">
        <x:v>Monitor 27</x:v>
      </x:c>
      <x:c r="F330" t="str">
        <x:v>Bruno</x:v>
      </x:c>
      <x:c r="G330" t="n">
        <x:v>3</x:v>
      </x:c>
      <x:c r="H330" s="12" t="n">
        <x:v>297.26</x:v>
      </x:c>
      <x:c r="I330" s="14" t="n">
        <x:v>0.05</x:v>
      </x:c>
      <x:c r="J330" s="12" t="n">
        <x:v>182.05</x:v>
      </x:c>
      <x:c r="K330" s="12" t="n">
        <x:f>G330*H330*(1-I330)</x:f>
        <x:v>847.1909999999999</x:v>
      </x:c>
      <x:c r="L330" s="12" t="n">
        <x:f>K330-(G330*J330)</x:f>
        <x:v>301.0409999999998</x:v>
      </x:c>
      <x:c r="M330" s="16" t="n">
        <x:f>IFERROR(L330/K330,0)</x:f>
        <x:v>0.3553401771265274</x:v>
      </x:c>
    </x:row>
    <x:row r="331">
      <x:c r="A331" t="str">
        <x:v>ORD-00330</x:v>
      </x:c>
      <x:c r="B331" s="10" t="n">
        <x:v>46258</x:v>
      </x:c>
      <x:c r="C331" t="str">
        <x:v>South</x:v>
      </x:c>
      <x:c r="D331" t="str">
        <x:v>Home</x:v>
      </x:c>
      <x:c r="E331" t="str">
        <x:v>Air Purifier</x:v>
      </x:c>
      <x:c r="F331" t="str">
        <x:v>Felipe</x:v>
      </x:c>
      <x:c r="G331" t="n">
        <x:v>2</x:v>
      </x:c>
      <x:c r="H331" s="12" t="n">
        <x:v>175.07</x:v>
      </x:c>
      <x:c r="I331" s="14" t="n">
        <x:v>0.15</x:v>
      </x:c>
      <x:c r="J331" s="12" t="n">
        <x:v>108.48</x:v>
      </x:c>
      <x:c r="K331" s="12" t="n">
        <x:f>G331*H331*(1-I331)</x:f>
        <x:v>297.61899999999997</x:v>
      </x:c>
      <x:c r="L331" s="12" t="n">
        <x:f>K331-(G331*J331)</x:f>
        <x:v>80.65899999999996</x:v>
      </x:c>
      <x:c r="M331" s="16" t="n">
        <x:f>IFERROR(L331/K331,0)</x:f>
        <x:v>0.2710142833622852</x:v>
      </x:c>
    </x:row>
    <x:row r="332">
      <x:c r="A332" t="str">
        <x:v>ORD-00331</x:v>
      </x:c>
      <x:c r="B332" s="10" t="n">
        <x:v>46121</x:v>
      </x:c>
      <x:c r="C332" t="str">
        <x:v>Southeast</x:v>
      </x:c>
      <x:c r="D332" t="str">
        <x:v>Home</x:v>
      </x:c>
      <x:c r="E332" t="str">
        <x:v>Coffee Maker</x:v>
      </x:c>
      <x:c r="F332" t="str">
        <x:v>Elisa</x:v>
      </x:c>
      <x:c r="G332" t="n">
        <x:v>3</x:v>
      </x:c>
      <x:c r="H332" s="12" t="n">
        <x:v>127.25</x:v>
      </x:c>
      <x:c r="I332" s="14" t="n">
        <x:v>0</x:v>
      </x:c>
      <x:c r="J332" s="12" t="n">
        <x:v>71.45</x:v>
      </x:c>
      <x:c r="K332" s="12" t="n">
        <x:f>G332*H332*(1-I332)</x:f>
        <x:v>381.75</x:v>
      </x:c>
      <x:c r="L332" s="12" t="n">
        <x:f>K332-(G332*J332)</x:f>
        <x:v>167.39999999999998</x:v>
      </x:c>
      <x:c r="M332" s="16" t="n">
        <x:f>IFERROR(L332/K332,0)</x:f>
        <x:v>0.4385068762278978</x:v>
      </x:c>
    </x:row>
    <x:row r="333">
      <x:c r="A333" t="str">
        <x:v>ORD-00332</x:v>
      </x:c>
      <x:c r="B333" s="10" t="n">
        <x:v>46176</x:v>
      </x:c>
      <x:c r="C333" t="str">
        <x:v>Northeast</x:v>
      </x:c>
      <x:c r="D333" t="str">
        <x:v>Accessories</x:v>
      </x:c>
      <x:c r="E333" t="str">
        <x:v>Webcam HD</x:v>
      </x:c>
      <x:c r="F333" t="str">
        <x:v>Elisa</x:v>
      </x:c>
      <x:c r="G333" t="n">
        <x:v>1</x:v>
      </x:c>
      <x:c r="H333" s="12" t="n">
        <x:v>96.83</x:v>
      </x:c>
      <x:c r="I333" s="14" t="n">
        <x:v>0.15</x:v>
      </x:c>
      <x:c r="J333" s="12" t="n">
        <x:v>47.76</x:v>
      </x:c>
      <x:c r="K333" s="12" t="n">
        <x:f>G333*H333*(1-I333)</x:f>
        <x:v>82.3055</x:v>
      </x:c>
      <x:c r="L333" s="12" t="n">
        <x:f>K333-(G333*J333)</x:f>
        <x:v>34.5455</x:v>
      </x:c>
      <x:c r="M333" s="16" t="n">
        <x:f>IFERROR(L333/K333,0)</x:f>
        <x:v>0.41972286177715945</x:v>
      </x:c>
    </x:row>
    <x:row r="334">
      <x:c r="A334" t="str">
        <x:v>ORD-00333</x:v>
      </x:c>
      <x:c r="B334" s="10" t="n">
        <x:v>46178</x:v>
      </x:c>
      <x:c r="C334" t="str">
        <x:v>South</x:v>
      </x:c>
      <x:c r="D334" t="str">
        <x:v>Home</x:v>
      </x:c>
      <x:c r="E334" t="str">
        <x:v>Coffee Maker</x:v>
      </x:c>
      <x:c r="F334" t="str">
        <x:v>Diego</x:v>
      </x:c>
      <x:c r="G334" t="n">
        <x:v>1</x:v>
      </x:c>
      <x:c r="H334" s="12" t="n">
        <x:v>128.93</x:v>
      </x:c>
      <x:c r="I334" s="14" t="n">
        <x:v>0.1</x:v>
      </x:c>
      <x:c r="J334" s="12" t="n">
        <x:v>71.42</x:v>
      </x:c>
      <x:c r="K334" s="12" t="n">
        <x:f>G334*H334*(1-I334)</x:f>
        <x:v>116.037</x:v>
      </x:c>
      <x:c r="L334" s="12" t="n">
        <x:f>K334-(G334*J334)</x:f>
        <x:v>44.617000000000004</x:v>
      </x:c>
      <x:c r="M334" s="16" t="n">
        <x:f>IFERROR(L334/K334,0)</x:f>
        <x:v>0.38450666597723143</x:v>
      </x:c>
    </x:row>
    <x:row r="335">
      <x:c r="A335" t="str">
        <x:v>ORD-00334</x:v>
      </x:c>
      <x:c r="B335" s="10" t="n">
        <x:v>46051</x:v>
      </x:c>
      <x:c r="C335" t="str">
        <x:v>Southeast</x:v>
      </x:c>
      <x:c r="D335" t="str">
        <x:v>Technology</x:v>
      </x:c>
      <x:c r="E335" t="str">
        <x:v>Monitor 27</x:v>
      </x:c>
      <x:c r="F335" t="str">
        <x:v>Elisa</x:v>
      </x:c>
      <x:c r="G335" t="n">
        <x:v>1</x:v>
      </x:c>
      <x:c r="H335" s="12" t="n">
        <x:v>302.78</x:v>
      </x:c>
      <x:c r="I335" s="14" t="n">
        <x:v>0.2</x:v>
      </x:c>
      <x:c r="J335" s="12" t="n">
        <x:v>177.59</x:v>
      </x:c>
      <x:c r="K335" s="12" t="n">
        <x:f>G335*H335*(1-I335)</x:f>
        <x:v>242.224</x:v>
      </x:c>
      <x:c r="L335" s="12" t="n">
        <x:f>K335-(G335*J335)</x:f>
        <x:v>64.63399999999999</x:v>
      </x:c>
      <x:c r="M335" s="16" t="n">
        <x:f>IFERROR(L335/K335,0)</x:f>
        <x:v>0.2668356562520642</x:v>
      </x:c>
    </x:row>
    <x:row r="336">
      <x:c r="A336" t="str">
        <x:v>ORD-00335</x:v>
      </x:c>
      <x:c r="B336" s="10" t="n">
        <x:v>46130</x:v>
      </x:c>
      <x:c r="C336" t="str">
        <x:v>South</x:v>
      </x:c>
      <x:c r="D336" t="str">
        <x:v>Office</x:v>
      </x:c>
      <x:c r="E336" t="str">
        <x:v>Standing Desk</x:v>
      </x:c>
      <x:c r="F336" t="str">
        <x:v>Ana</x:v>
      </x:c>
      <x:c r="G336" t="n">
        <x:v>2</x:v>
      </x:c>
      <x:c r="H336" s="12" t="n">
        <x:v>405.75</x:v>
      </x:c>
      <x:c r="I336" s="14" t="n">
        <x:v>0</x:v>
      </x:c>
      <x:c r="J336" s="12" t="n">
        <x:v>268.14</x:v>
      </x:c>
      <x:c r="K336" s="12" t="n">
        <x:f>G336*H336*(1-I336)</x:f>
        <x:v>811.5</x:v>
      </x:c>
      <x:c r="L336" s="12" t="n">
        <x:f>K336-(G336*J336)</x:f>
        <x:v>275.22</x:v>
      </x:c>
      <x:c r="M336" s="16" t="n">
        <x:f>IFERROR(L336/K336,0)</x:f>
        <x:v>0.33914972273567473</x:v>
      </x:c>
    </x:row>
    <x:row r="337">
      <x:c r="A337" t="str">
        <x:v>ORD-00336</x:v>
      </x:c>
      <x:c r="B337" s="10" t="n">
        <x:v>46259</x:v>
      </x:c>
      <x:c r="C337" t="str">
        <x:v>Southeast</x:v>
      </x:c>
      <x:c r="D337" t="str">
        <x:v>Home</x:v>
      </x:c>
      <x:c r="E337" t="str">
        <x:v>Smart Lamp</x:v>
      </x:c>
      <x:c r="F337" t="str">
        <x:v>Felipe</x:v>
      </x:c>
      <x:c r="G337" t="n">
        <x:v>5</x:v>
      </x:c>
      <x:c r="H337" s="12" t="n">
        <x:v>65.33</x:v>
      </x:c>
      <x:c r="I337" s="14" t="n">
        <x:v>0.1</x:v>
      </x:c>
      <x:c r="J337" s="12" t="n">
        <x:v>29.02</x:v>
      </x:c>
      <x:c r="K337" s="12" t="n">
        <x:f>G337*H337*(1-I337)</x:f>
        <x:v>293.985</x:v>
      </x:c>
      <x:c r="L337" s="12" t="n">
        <x:f>K337-(G337*J337)</x:f>
        <x:v>148.88500000000002</x:v>
      </x:c>
      <x:c r="M337" s="16" t="n">
        <x:f>IFERROR(L337/K337,0)</x:f>
        <x:v>0.5064374032688743</x:v>
      </x:c>
    </x:row>
    <x:row r="338">
      <x:c r="A338" t="str">
        <x:v>ORD-00337</x:v>
      </x:c>
      <x:c r="B338" s="10" t="n">
        <x:v>46125</x:v>
      </x:c>
      <x:c r="C338" t="str">
        <x:v>Southeast</x:v>
      </x:c>
      <x:c r="D338" t="str">
        <x:v>Office</x:v>
      </x:c>
      <x:c r="E338" t="str">
        <x:v>Standing Desk</x:v>
      </x:c>
      <x:c r="F338" t="str">
        <x:v>Bruno</x:v>
      </x:c>
      <x:c r="G338" t="n">
        <x:v>2</x:v>
      </x:c>
      <x:c r="H338" s="12" t="n">
        <x:v>422.53</x:v>
      </x:c>
      <x:c r="I338" s="14" t="n">
        <x:v>0</x:v>
      </x:c>
      <x:c r="J338" s="12" t="n">
        <x:v>267.34</x:v>
      </x:c>
      <x:c r="K338" s="12" t="n">
        <x:f>G338*H338*(1-I338)</x:f>
        <x:v>845.06</x:v>
      </x:c>
      <x:c r="L338" s="12" t="n">
        <x:f>K338-(G338*J338)</x:f>
        <x:v>310.38</x:v>
      </x:c>
      <x:c r="M338" s="16" t="n">
        <x:f>IFERROR(L338/K338,0)</x:f>
        <x:v>0.3672875298795352</x:v>
      </x:c>
    </x:row>
    <x:row r="339">
      <x:c r="A339" t="str">
        <x:v>ORD-00338</x:v>
      </x:c>
      <x:c r="B339" s="10" t="n">
        <x:v>46160</x:v>
      </x:c>
      <x:c r="C339" t="str">
        <x:v>Southeast</x:v>
      </x:c>
      <x:c r="D339" t="str">
        <x:v>Technology</x:v>
      </x:c>
      <x:c r="E339" t="str">
        <x:v>Wireless Mouse</x:v>
      </x:c>
      <x:c r="F339" t="str">
        <x:v>Ana</x:v>
      </x:c>
      <x:c r="G339" t="n">
        <x:v>7</x:v>
      </x:c>
      <x:c r="H339" s="12" t="n">
        <x:v>36.27</x:v>
      </x:c>
      <x:c r="I339" s="14" t="n">
        <x:v>0.1</x:v>
      </x:c>
      <x:c r="J339" s="12" t="n">
        <x:v>15.73</x:v>
      </x:c>
      <x:c r="K339" s="12" t="n">
        <x:f>G339*H339*(1-I339)</x:f>
        <x:v>228.501</x:v>
      </x:c>
      <x:c r="L339" s="12" t="n">
        <x:f>K339-(G339*J339)</x:f>
        <x:v>118.391</x:v>
      </x:c>
      <x:c r="M339" s="16" t="n">
        <x:f>IFERROR(L339/K339,0)</x:f>
        <x:v>0.5181202708084429</x:v>
      </x:c>
    </x:row>
    <x:row r="340">
      <x:c r="A340" t="str">
        <x:v>ORD-00339</x:v>
      </x:c>
      <x:c r="B340" s="10" t="n">
        <x:v>46259</x:v>
      </x:c>
      <x:c r="C340" t="str">
        <x:v>South</x:v>
      </x:c>
      <x:c r="D340" t="str">
        <x:v>Home</x:v>
      </x:c>
      <x:c r="E340" t="str">
        <x:v>Smart Lamp</x:v>
      </x:c>
      <x:c r="F340" t="str">
        <x:v>Ana</x:v>
      </x:c>
      <x:c r="G340" t="n">
        <x:v>1</x:v>
      </x:c>
      <x:c r="H340" s="12" t="n">
        <x:v>66.74</x:v>
      </x:c>
      <x:c r="I340" s="14" t="n">
        <x:v>0</x:v>
      </x:c>
      <x:c r="J340" s="12" t="n">
        <x:v>29.49</x:v>
      </x:c>
      <x:c r="K340" s="12" t="n">
        <x:f>G340*H340*(1-I340)</x:f>
        <x:v>66.74</x:v>
      </x:c>
      <x:c r="L340" s="12" t="n">
        <x:f>K340-(G340*J340)</x:f>
        <x:v>37.25</x:v>
      </x:c>
      <x:c r="M340" s="16" t="n">
        <x:f>IFERROR(L340/K340,0)</x:f>
        <x:v>0.558136050344621</x:v>
      </x:c>
    </x:row>
    <x:row r="341">
      <x:c r="A341" t="str">
        <x:v>ORD-00340</x:v>
      </x:c>
      <x:c r="B341" s="10" t="n">
        <x:v>46026</x:v>
      </x:c>
      <x:c r="C341" t="str">
        <x:v>Northeast</x:v>
      </x:c>
      <x:c r="D341" t="str">
        <x:v>Technology</x:v>
      </x:c>
      <x:c r="E341" t="str">
        <x:v>Laptop Pro</x:v>
      </x:c>
      <x:c r="F341" t="str">
        <x:v>Felipe</x:v>
      </x:c>
      <x:c r="G341" t="n">
        <x:v>8</x:v>
      </x:c>
      <x:c r="H341" s="12" t="n">
        <x:v>1208.48</x:v>
      </x:c>
      <x:c r="I341" s="14" t="n">
        <x:v>0.2</x:v>
      </x:c>
      <x:c r="J341" s="12" t="n">
        <x:v>866.28</x:v>
      </x:c>
      <x:c r="K341" s="12" t="n">
        <x:f>G341*H341*(1-I341)</x:f>
        <x:v>7734.272000000001</x:v>
      </x:c>
      <x:c r="L341" s="12" t="n">
        <x:f>K341-(G341*J341)</x:f>
        <x:v>804.0320000000011</x:v>
      </x:c>
      <x:c r="M341" s="16" t="n">
        <x:f>IFERROR(L341/K341,0)</x:f>
        <x:v>0.10395703693896477</x:v>
      </x:c>
    </x:row>
    <x:row r="342">
      <x:c r="A342" t="str">
        <x:v>ORD-00341</x:v>
      </x:c>
      <x:c r="B342" s="10" t="n">
        <x:v>46089</x:v>
      </x:c>
      <x:c r="C342" t="str">
        <x:v>Southeast</x:v>
      </x:c>
      <x:c r="D342" t="str">
        <x:v>Office</x:v>
      </x:c>
      <x:c r="E342" t="str">
        <x:v>Desk Lamp</x:v>
      </x:c>
      <x:c r="F342" t="str">
        <x:v>Carla</x:v>
      </x:c>
      <x:c r="G342" t="n">
        <x:v>5</x:v>
      </x:c>
      <x:c r="H342" s="12" t="n">
        <x:v>53.38</x:v>
      </x:c>
      <x:c r="I342" s="14" t="n">
        <x:v>0.1</x:v>
      </x:c>
      <x:c r="J342" s="12" t="n">
        <x:v>24.6</x:v>
      </x:c>
      <x:c r="K342" s="12" t="n">
        <x:f>G342*H342*(1-I342)</x:f>
        <x:v>240.21000000000004</x:v>
      </x:c>
      <x:c r="L342" s="12" t="n">
        <x:f>K342-(G342*J342)</x:f>
        <x:v>117.21000000000004</x:v>
      </x:c>
      <x:c r="M342" s="16" t="n">
        <x:f>IFERROR(L342/K342,0)</x:f>
        <x:v>0.48794804546022236</x:v>
      </x:c>
    </x:row>
    <x:row r="343">
      <x:c r="A343" t="str">
        <x:v>ORD-00342</x:v>
      </x:c>
      <x:c r="B343" s="10" t="n">
        <x:v>46229</x:v>
      </x:c>
      <x:c r="C343" t="str">
        <x:v>South</x:v>
      </x:c>
      <x:c r="D343" t="str">
        <x:v>Technology</x:v>
      </x:c>
      <x:c r="E343" t="str">
        <x:v>Wireless Mouse</x:v>
      </x:c>
      <x:c r="F343" t="str">
        <x:v>Elisa</x:v>
      </x:c>
      <x:c r="G343" t="n">
        <x:v>2</x:v>
      </x:c>
      <x:c r="H343" s="12" t="n">
        <x:v>35.21</x:v>
      </x:c>
      <x:c r="I343" s="14" t="n">
        <x:v>0.05</x:v>
      </x:c>
      <x:c r="J343" s="12" t="n">
        <x:v>15.72</x:v>
      </x:c>
      <x:c r="K343" s="12" t="n">
        <x:f>G343*H343*(1-I343)</x:f>
        <x:v>66.899</x:v>
      </x:c>
      <x:c r="L343" s="12" t="n">
        <x:f>K343-(G343*J343)</x:f>
        <x:v>35.459</x:v>
      </x:c>
      <x:c r="M343" s="16" t="n">
        <x:f>IFERROR(L343/K343,0)</x:f>
        <x:v>0.5300378182035607</x:v>
      </x:c>
    </x:row>
    <x:row r="344">
      <x:c r="A344" t="str">
        <x:v>ORD-00343</x:v>
      </x:c>
      <x:c r="B344" s="10" t="n">
        <x:v>46065</x:v>
      </x:c>
      <x:c r="C344" t="str">
        <x:v>South</x:v>
      </x:c>
      <x:c r="D344" t="str">
        <x:v>Accessories</x:v>
      </x:c>
      <x:c r="E344" t="str">
        <x:v>USB-C Hub</x:v>
      </x:c>
      <x:c r="F344" t="str">
        <x:v>Ana</x:v>
      </x:c>
      <x:c r="G344" t="n">
        <x:v>2</x:v>
      </x:c>
      <x:c r="H344" s="12" t="n">
        <x:v>70.41</x:v>
      </x:c>
      <x:c r="I344" s="14" t="n">
        <x:v>0</x:v>
      </x:c>
      <x:c r="J344" s="12" t="n">
        <x:v>31.43</x:v>
      </x:c>
      <x:c r="K344" s="12" t="n">
        <x:f>G344*H344*(1-I344)</x:f>
        <x:v>140.82</x:v>
      </x:c>
      <x:c r="L344" s="12" t="n">
        <x:f>K344-(G344*J344)</x:f>
        <x:v>77.96</x:v>
      </x:c>
      <x:c r="M344" s="16" t="n">
        <x:f>IFERROR(L344/K344,0)</x:f>
        <x:v>0.5536145433887232</x:v>
      </x:c>
    </x:row>
    <x:row r="345">
      <x:c r="A345" t="str">
        <x:v>ORD-00344</x:v>
      </x:c>
      <x:c r="B345" s="10" t="n">
        <x:v>46085</x:v>
      </x:c>
      <x:c r="C345" t="str">
        <x:v>Southeast</x:v>
      </x:c>
      <x:c r="D345" t="str">
        <x:v>Accessories</x:v>
      </x:c>
      <x:c r="E345" t="str">
        <x:v>Backpack</x:v>
      </x:c>
      <x:c r="F345" t="str">
        <x:v>Felipe</x:v>
      </x:c>
      <x:c r="G345" t="n">
        <x:v>3</x:v>
      </x:c>
      <x:c r="H345" s="12" t="n">
        <x:v>88.95</x:v>
      </x:c>
      <x:c r="I345" s="14" t="n">
        <x:v>0</x:v>
      </x:c>
      <x:c r="J345" s="12" t="n">
        <x:v>41.23</x:v>
      </x:c>
      <x:c r="K345" s="12" t="n">
        <x:f>G345*H345*(1-I345)</x:f>
        <x:v>266.85</x:v>
      </x:c>
      <x:c r="L345" s="12" t="n">
        <x:f>K345-(G345*J345)</x:f>
        <x:v>143.16000000000003</x:v>
      </x:c>
      <x:c r="M345" s="16" t="n">
        <x:f>IFERROR(L345/K345,0)</x:f>
        <x:v>0.5364811691961777</x:v>
      </x:c>
    </x:row>
    <x:row r="346">
      <x:c r="A346" t="str">
        <x:v>ORD-00345</x:v>
      </x:c>
      <x:c r="B346" s="10" t="n">
        <x:v>46212</x:v>
      </x:c>
      <x:c r="C346" t="str">
        <x:v>Northeast</x:v>
      </x:c>
      <x:c r="D346" t="str">
        <x:v>Office</x:v>
      </x:c>
      <x:c r="E346" t="str">
        <x:v>Standing Desk</x:v>
      </x:c>
      <x:c r="F346" t="str">
        <x:v>Ana</x:v>
      </x:c>
      <x:c r="G346" t="n">
        <x:v>4</x:v>
      </x:c>
      <x:c r="H346" s="12" t="n">
        <x:v>430.43</x:v>
      </x:c>
      <x:c r="I346" s="14" t="n">
        <x:v>0.05</x:v>
      </x:c>
      <x:c r="J346" s="12" t="n">
        <x:v>268.26</x:v>
      </x:c>
      <x:c r="K346" s="12" t="n">
        <x:f>G346*H346*(1-I346)</x:f>
        <x:v>1635.634</x:v>
      </x:c>
      <x:c r="L346" s="12" t="n">
        <x:f>K346-(G346*J346)</x:f>
        <x:v>562.594</x:v>
      </x:c>
      <x:c r="M346" s="16" t="n">
        <x:f>IFERROR(L346/K346,0)</x:f>
        <x:v>0.3439608127490625</x:v>
      </x:c>
    </x:row>
    <x:row r="347">
      <x:c r="A347" t="str">
        <x:v>ORD-00346</x:v>
      </x:c>
      <x:c r="B347" s="10" t="n">
        <x:v>46169</x:v>
      </x:c>
      <x:c r="C347" t="str">
        <x:v>South</x:v>
      </x:c>
      <x:c r="D347" t="str">
        <x:v>Technology</x:v>
      </x:c>
      <x:c r="E347" t="str">
        <x:v>Laptop Pro</x:v>
      </x:c>
      <x:c r="F347" t="str">
        <x:v>Ana</x:v>
      </x:c>
      <x:c r="G347" t="n">
        <x:v>4</x:v>
      </x:c>
      <x:c r="H347" s="12" t="n">
        <x:v>1257.99</x:v>
      </x:c>
      <x:c r="I347" s="14" t="n">
        <x:v>0.15</x:v>
      </x:c>
      <x:c r="J347" s="12" t="n">
        <x:v>873.55</x:v>
      </x:c>
      <x:c r="K347" s="12" t="n">
        <x:f>G347*H347*(1-I347)</x:f>
        <x:v>4277.166</x:v>
      </x:c>
      <x:c r="L347" s="12" t="n">
        <x:f>K347-(G347*J347)</x:f>
        <x:v>782.9660000000003</x:v>
      </x:c>
      <x:c r="M347" s="16" t="n">
        <x:f>IFERROR(L347/K347,0)</x:f>
        <x:v>0.18305719254291283</x:v>
      </x:c>
    </x:row>
    <x:row r="348">
      <x:c r="A348" t="str">
        <x:v>ORD-00347</x:v>
      </x:c>
      <x:c r="B348" s="10" t="n">
        <x:v>46247</x:v>
      </x:c>
      <x:c r="C348" t="str">
        <x:v>South</x:v>
      </x:c>
      <x:c r="D348" t="str">
        <x:v>Accessories</x:v>
      </x:c>
      <x:c r="E348" t="str">
        <x:v>Backpack</x:v>
      </x:c>
      <x:c r="F348" t="str">
        <x:v>Carla</x:v>
      </x:c>
      <x:c r="G348" t="n">
        <x:v>6</x:v>
      </x:c>
      <x:c r="H348" s="12" t="n">
        <x:v>85.09</x:v>
      </x:c>
      <x:c r="I348" s="14" t="n">
        <x:v>0</x:v>
      </x:c>
      <x:c r="J348" s="12" t="n">
        <x:v>41.93</x:v>
      </x:c>
      <x:c r="K348" s="12" t="n">
        <x:f>G348*H348*(1-I348)</x:f>
        <x:v>510.54</x:v>
      </x:c>
      <x:c r="L348" s="12" t="n">
        <x:f>K348-(G348*J348)</x:f>
        <x:v>258.96000000000004</x:v>
      </x:c>
      <x:c r="M348" s="16" t="n">
        <x:f>IFERROR(L348/K348,0)</x:f>
        <x:v>0.5072276413209543</x:v>
      </x:c>
    </x:row>
    <x:row r="349">
      <x:c r="A349" t="str">
        <x:v>ORD-00348</x:v>
      </x:c>
      <x:c r="B349" s="10" t="n">
        <x:v>46167</x:v>
      </x:c>
      <x:c r="C349" t="str">
        <x:v>Midwest</x:v>
      </x:c>
      <x:c r="D349" t="str">
        <x:v>Office</x:v>
      </x:c>
      <x:c r="E349" t="str">
        <x:v>Standing Desk</x:v>
      </x:c>
      <x:c r="F349" t="str">
        <x:v>Bruno</x:v>
      </x:c>
      <x:c r="G349" t="n">
        <x:v>6</x:v>
      </x:c>
      <x:c r="H349" s="12" t="n">
        <x:v>421.85</x:v>
      </x:c>
      <x:c r="I349" s="14" t="n">
        <x:v>0.05</x:v>
      </x:c>
      <x:c r="J349" s="12" t="n">
        <x:v>275.03</x:v>
      </x:c>
      <x:c r="K349" s="12" t="n">
        <x:f>G349*H349*(1-I349)</x:f>
        <x:v>2404.545</x:v>
      </x:c>
      <x:c r="L349" s="12" t="n">
        <x:f>K349-(G349*J349)</x:f>
        <x:v>754.3650000000002</x:v>
      </x:c>
      <x:c r="M349" s="16" t="n">
        <x:f>IFERROR(L349/K349,0)</x:f>
        <x:v>0.313724633974411</x:v>
      </x:c>
    </x:row>
    <x:row r="350">
      <x:c r="A350" t="str">
        <x:v>ORD-00349</x:v>
      </x:c>
      <x:c r="B350" s="10" t="n">
        <x:v>46210</x:v>
      </x:c>
      <x:c r="C350" t="str">
        <x:v>North</x:v>
      </x:c>
      <x:c r="D350" t="str">
        <x:v>Office</x:v>
      </x:c>
      <x:c r="E350" t="str">
        <x:v>Office Chair</x:v>
      </x:c>
      <x:c r="F350" t="str">
        <x:v>Felipe</x:v>
      </x:c>
      <x:c r="G350" t="n">
        <x:v>1</x:v>
      </x:c>
      <x:c r="H350" s="12" t="n">
        <x:v>211.67</x:v>
      </x:c>
      <x:c r="I350" s="14" t="n">
        <x:v>0.2</x:v>
      </x:c>
      <x:c r="J350" s="12" t="n">
        <x:v>130.92</x:v>
      </x:c>
      <x:c r="K350" s="12" t="n">
        <x:f>G350*H350*(1-I350)</x:f>
        <x:v>169.336</x:v>
      </x:c>
      <x:c r="L350" s="12" t="n">
        <x:f>K350-(G350*J350)</x:f>
        <x:v>38.416000000000025</x:v>
      </x:c>
      <x:c r="M350" s="16" t="n">
        <x:f>IFERROR(L350/K350,0)</x:f>
        <x:v>0.22686256909340025</x:v>
      </x:c>
    </x:row>
    <x:row r="351">
      <x:c r="A351" t="str">
        <x:v>ORD-00350</x:v>
      </x:c>
      <x:c r="B351" s="10" t="n">
        <x:v>46237</x:v>
      </x:c>
      <x:c r="C351" t="str">
        <x:v>Northeast</x:v>
      </x:c>
      <x:c r="D351" t="str">
        <x:v>Technology</x:v>
      </x:c>
      <x:c r="E351" t="str">
        <x:v>Wireless Mouse</x:v>
      </x:c>
      <x:c r="F351" t="str">
        <x:v>Carla</x:v>
      </x:c>
      <x:c r="G351" t="n">
        <x:v>1</x:v>
      </x:c>
      <x:c r="H351" s="12" t="n">
        <x:v>34.79</x:v>
      </x:c>
      <x:c r="I351" s="14" t="n">
        <x:v>0.1</x:v>
      </x:c>
      <x:c r="J351" s="12" t="n">
        <x:v>16.27</x:v>
      </x:c>
      <x:c r="K351" s="12" t="n">
        <x:f>G351*H351*(1-I351)</x:f>
        <x:v>31.311</x:v>
      </x:c>
      <x:c r="L351" s="12" t="n">
        <x:f>K351-(G351*J351)</x:f>
        <x:v>15.041</x:v>
      </x:c>
      <x:c r="M351" s="16" t="n">
        <x:f>IFERROR(L351/K351,0)</x:f>
        <x:v>0.4803743093481524</x:v>
      </x:c>
    </x:row>
    <x:row r="352">
      <x:c r="A352" t="str">
        <x:v>ORD-00351</x:v>
      </x:c>
      <x:c r="B352" s="10" t="n">
        <x:v>46049</x:v>
      </x:c>
      <x:c r="C352" t="str">
        <x:v>Southeast</x:v>
      </x:c>
      <x:c r="D352" t="str">
        <x:v>Office</x:v>
      </x:c>
      <x:c r="E352" t="str">
        <x:v>Standing Desk</x:v>
      </x:c>
      <x:c r="F352" t="str">
        <x:v>Carla</x:v>
      </x:c>
      <x:c r="G352" t="n">
        <x:v>8</x:v>
      </x:c>
      <x:c r="H352" s="12" t="n">
        <x:v>439.96</x:v>
      </x:c>
      <x:c r="I352" s="14" t="n">
        <x:v>0.2</x:v>
      </x:c>
      <x:c r="J352" s="12" t="n">
        <x:v>266.52</x:v>
      </x:c>
      <x:c r="K352" s="12" t="n">
        <x:f>G352*H352*(1-I352)</x:f>
        <x:v>2815.744</x:v>
      </x:c>
      <x:c r="L352" s="12" t="n">
        <x:f>K352-(G352*J352)</x:f>
        <x:v>683.5840000000003</x:v>
      </x:c>
      <x:c r="M352" s="16" t="n">
        <x:f>IFERROR(L352/K352,0)</x:f>
        <x:v>0.24277207018819902</x:v>
      </x:c>
    </x:row>
    <x:row r="353">
      <x:c r="A353" t="str">
        <x:v>ORD-00352</x:v>
      </x:c>
      <x:c r="B353" s="10" t="n">
        <x:v>46046</x:v>
      </x:c>
      <x:c r="C353" t="str">
        <x:v>Southeast</x:v>
      </x:c>
      <x:c r="D353" t="str">
        <x:v>Office</x:v>
      </x:c>
      <x:c r="E353" t="str">
        <x:v>Desk Lamp</x:v>
      </x:c>
      <x:c r="F353" t="str">
        <x:v>Ana</x:v>
      </x:c>
      <x:c r="G353" t="n">
        <x:v>7</x:v>
      </x:c>
      <x:c r="H353" s="12" t="n">
        <x:v>54.64</x:v>
      </x:c>
      <x:c r="I353" s="14" t="n">
        <x:v>0.1</x:v>
      </x:c>
      <x:c r="J353" s="12" t="n">
        <x:v>24.69</x:v>
      </x:c>
      <x:c r="K353" s="12" t="n">
        <x:f>G353*H353*(1-I353)</x:f>
        <x:v>344.232</x:v>
      </x:c>
      <x:c r="L353" s="12" t="n">
        <x:f>K353-(G353*J353)</x:f>
        <x:v>171.40200000000002</x:v>
      </x:c>
      <x:c r="M353" s="16" t="n">
        <x:f>IFERROR(L353/K353,0)</x:f>
        <x:v>0.49792581747193754</x:v>
      </x:c>
    </x:row>
    <x:row r="354">
      <x:c r="A354" t="str">
        <x:v>ORD-00353</x:v>
      </x:c>
      <x:c r="B354" s="10" t="n">
        <x:v>46171</x:v>
      </x:c>
      <x:c r="C354" t="str">
        <x:v>Southeast</x:v>
      </x:c>
      <x:c r="D354" t="str">
        <x:v>Office</x:v>
      </x:c>
      <x:c r="E354" t="str">
        <x:v>Desk Lamp</x:v>
      </x:c>
      <x:c r="F354" t="str">
        <x:v>Bruno</x:v>
      </x:c>
      <x:c r="G354" t="n">
        <x:v>7</x:v>
      </x:c>
      <x:c r="H354" s="12" t="n">
        <x:v>55.61</x:v>
      </x:c>
      <x:c r="I354" s="14" t="n">
        <x:v>0</x:v>
      </x:c>
      <x:c r="J354" s="12" t="n">
        <x:v>24.04</x:v>
      </x:c>
      <x:c r="K354" s="12" t="n">
        <x:f>G354*H354*(1-I354)</x:f>
        <x:v>389.27</x:v>
      </x:c>
      <x:c r="L354" s="12" t="n">
        <x:f>K354-(G354*J354)</x:f>
        <x:v>220.98999999999998</x:v>
      </x:c>
      <x:c r="M354" s="16" t="n">
        <x:f>IFERROR(L354/K354,0)</x:f>
        <x:v>0.5677036504225859</x:v>
      </x:c>
    </x:row>
    <x:row r="355">
      <x:c r="A355" t="str">
        <x:v>ORD-00354</x:v>
      </x:c>
      <x:c r="B355" s="10" t="n">
        <x:v>46083</x:v>
      </x:c>
      <x:c r="C355" t="str">
        <x:v>Southeast</x:v>
      </x:c>
      <x:c r="D355" t="str">
        <x:v>Accessories</x:v>
      </x:c>
      <x:c r="E355" t="str">
        <x:v>Backpack</x:v>
      </x:c>
      <x:c r="F355" t="str">
        <x:v>Bruno</x:v>
      </x:c>
      <x:c r="G355" t="n">
        <x:v>6</x:v>
      </x:c>
      <x:c r="H355" s="12" t="n">
        <x:v>83.68</x:v>
      </x:c>
      <x:c r="I355" s="14" t="n">
        <x:v>0</x:v>
      </x:c>
      <x:c r="J355" s="12" t="n">
        <x:v>41.32</x:v>
      </x:c>
      <x:c r="K355" s="12" t="n">
        <x:f>G355*H355*(1-I355)</x:f>
        <x:v>502.08000000000004</x:v>
      </x:c>
      <x:c r="L355" s="12" t="n">
        <x:f>K355-(G355*J355)</x:f>
        <x:v>254.16000000000003</x:v>
      </x:c>
      <x:c r="M355" s="16" t="n">
        <x:f>IFERROR(L355/K355,0)</x:f>
        <x:v>0.5062141491395794</x:v>
      </x:c>
    </x:row>
    <x:row r="356">
      <x:c r="A356" t="str">
        <x:v>ORD-00355</x:v>
      </x:c>
      <x:c r="B356" s="10" t="n">
        <x:v>46057</x:v>
      </x:c>
      <x:c r="C356" t="str">
        <x:v>Midwest</x:v>
      </x:c>
      <x:c r="D356" t="str">
        <x:v>Technology</x:v>
      </x:c>
      <x:c r="E356" t="str">
        <x:v>Laptop Pro</x:v>
      </x:c>
      <x:c r="F356" t="str">
        <x:v>Elisa</x:v>
      </x:c>
      <x:c r="G356" t="n">
        <x:v>2</x:v>
      </x:c>
      <x:c r="H356" s="12" t="n">
        <x:v>1202.33</x:v>
      </x:c>
      <x:c r="I356" s="14" t="n">
        <x:v>0</x:v>
      </x:c>
      <x:c r="J356" s="12" t="n">
        <x:v>850.28</x:v>
      </x:c>
      <x:c r="K356" s="12" t="n">
        <x:f>G356*H356*(1-I356)</x:f>
        <x:v>2404.66</x:v>
      </x:c>
      <x:c r="L356" s="12" t="n">
        <x:f>K356-(G356*J356)</x:f>
        <x:v>704.0999999999999</x:v>
      </x:c>
      <x:c r="M356" s="16" t="n">
        <x:f>IFERROR(L356/K356,0)</x:f>
        <x:v>0.2928064674423827</x:v>
      </x:c>
    </x:row>
    <x:row r="357">
      <x:c r="A357" t="str">
        <x:v>ORD-00356</x:v>
      </x:c>
      <x:c r="B357" s="10" t="n">
        <x:v>46114</x:v>
      </x:c>
      <x:c r="C357" t="str">
        <x:v>North</x:v>
      </x:c>
      <x:c r="D357" t="str">
        <x:v>Office</x:v>
      </x:c>
      <x:c r="E357" t="str">
        <x:v>Standing Desk</x:v>
      </x:c>
      <x:c r="F357" t="str">
        <x:v>Felipe</x:v>
      </x:c>
      <x:c r="G357" t="n">
        <x:v>5</x:v>
      </x:c>
      <x:c r="H357" s="12" t="n">
        <x:v>435.42</x:v>
      </x:c>
      <x:c r="I357" s="14" t="n">
        <x:v>0.05</x:v>
      </x:c>
      <x:c r="J357" s="12" t="n">
        <x:v>265.82</x:v>
      </x:c>
      <x:c r="K357" s="12" t="n">
        <x:f>G357*H357*(1-I357)</x:f>
        <x:v>2068.245</x:v>
      </x:c>
      <x:c r="L357" s="12" t="n">
        <x:f>K357-(G357*J357)</x:f>
        <x:v>739.145</x:v>
      </x:c>
      <x:c r="M357" s="16" t="n">
        <x:f>IFERROR(L357/K357,0)</x:f>
        <x:v>0.35737787351111694</x:v>
      </x:c>
    </x:row>
    <x:row r="358">
      <x:c r="A358" t="str">
        <x:v>ORD-00357</x:v>
      </x:c>
      <x:c r="B358" s="10" t="n">
        <x:v>46100</x:v>
      </x:c>
      <x:c r="C358" t="str">
        <x:v>Midwest</x:v>
      </x:c>
      <x:c r="D358" t="str">
        <x:v>Technology</x:v>
      </x:c>
      <x:c r="E358" t="str">
        <x:v>Laptop Pro</x:v>
      </x:c>
      <x:c r="F358" t="str">
        <x:v>Diego</x:v>
      </x:c>
      <x:c r="G358" t="n">
        <x:v>6</x:v>
      </x:c>
      <x:c r="H358" s="12" t="n">
        <x:v>1228.8</x:v>
      </x:c>
      <x:c r="I358" s="14" t="n">
        <x:v>0</x:v>
      </x:c>
      <x:c r="J358" s="12" t="n">
        <x:v>874.16</x:v>
      </x:c>
      <x:c r="K358" s="12" t="n">
        <x:f>G358*H358*(1-I358)</x:f>
        <x:v>7372.799999999999</x:v>
      </x:c>
      <x:c r="L358" s="12" t="n">
        <x:f>K358-(G358*J358)</x:f>
        <x:v>2127.8399999999992</x:v>
      </x:c>
      <x:c r="M358" s="16" t="n">
        <x:f>IFERROR(L358/K358,0)</x:f>
        <x:v>0.28860677083333325</x:v>
      </x:c>
    </x:row>
    <x:row r="359">
      <x:c r="A359" t="str">
        <x:v>ORD-00358</x:v>
      </x:c>
      <x:c r="B359" s="10" t="n">
        <x:v>46154</x:v>
      </x:c>
      <x:c r="C359" t="str">
        <x:v>Southeast</x:v>
      </x:c>
      <x:c r="D359" t="str">
        <x:v>Accessories</x:v>
      </x:c>
      <x:c r="E359" t="str">
        <x:v>Backpack</x:v>
      </x:c>
      <x:c r="F359" t="str">
        <x:v>Felipe</x:v>
      </x:c>
      <x:c r="G359" t="n">
        <x:v>3</x:v>
      </x:c>
      <x:c r="H359" s="12" t="n">
        <x:v>84.69</x:v>
      </x:c>
      <x:c r="I359" s="14" t="n">
        <x:v>0</x:v>
      </x:c>
      <x:c r="J359" s="12" t="n">
        <x:v>42.11</x:v>
      </x:c>
      <x:c r="K359" s="12" t="n">
        <x:f>G359*H359*(1-I359)</x:f>
        <x:v>254.07</x:v>
      </x:c>
      <x:c r="L359" s="12" t="n">
        <x:f>K359-(G359*J359)</x:f>
        <x:v>127.74</x:v>
      </x:c>
      <x:c r="M359" s="16" t="n">
        <x:f>IFERROR(L359/K359,0)</x:f>
        <x:v>0.5027748258353997</x:v>
      </x:c>
    </x:row>
    <x:row r="360">
      <x:c r="A360" t="str">
        <x:v>ORD-00359</x:v>
      </x:c>
      <x:c r="B360" s="10" t="n">
        <x:v>46163</x:v>
      </x:c>
      <x:c r="C360" t="str">
        <x:v>Southeast</x:v>
      </x:c>
      <x:c r="D360" t="str">
        <x:v>Home</x:v>
      </x:c>
      <x:c r="E360" t="str">
        <x:v>Air Purifier</x:v>
      </x:c>
      <x:c r="F360" t="str">
        <x:v>Bruno</x:v>
      </x:c>
      <x:c r="G360" t="n">
        <x:v>3</x:v>
      </x:c>
      <x:c r="H360" s="12" t="n">
        <x:v>173.8</x:v>
      </x:c>
      <x:c r="I360" s="14" t="n">
        <x:v>0</x:v>
      </x:c>
      <x:c r="J360" s="12" t="n">
        <x:v>112.1</x:v>
      </x:c>
      <x:c r="K360" s="12" t="n">
        <x:f>G360*H360*(1-I360)</x:f>
        <x:v>521.4000000000001</x:v>
      </x:c>
      <x:c r="L360" s="12" t="n">
        <x:f>K360-(G360*J360)</x:f>
        <x:v>185.10000000000014</x:v>
      </x:c>
      <x:c r="M360" s="16" t="n">
        <x:f>IFERROR(L360/K360,0)</x:f>
        <x:v>0.35500575373993115</x:v>
      </x:c>
    </x:row>
    <x:row r="361">
      <x:c r="A361" t="str">
        <x:v>ORD-00360</x:v>
      </x:c>
      <x:c r="B361" s="10" t="n">
        <x:v>46056</x:v>
      </x:c>
      <x:c r="C361" t="str">
        <x:v>Southeast</x:v>
      </x:c>
      <x:c r="D361" t="str">
        <x:v>Home</x:v>
      </x:c>
      <x:c r="E361" t="str">
        <x:v>Coffee Maker</x:v>
      </x:c>
      <x:c r="F361" t="str">
        <x:v>Ana</x:v>
      </x:c>
      <x:c r="G361" t="n">
        <x:v>2</x:v>
      </x:c>
      <x:c r="H361" s="12" t="n">
        <x:v>122.91</x:v>
      </x:c>
      <x:c r="I361" s="14" t="n">
        <x:v>0.05</x:v>
      </x:c>
      <x:c r="J361" s="12" t="n">
        <x:v>73.49</x:v>
      </x:c>
      <x:c r="K361" s="12" t="n">
        <x:f>G361*H361*(1-I361)</x:f>
        <x:v>233.529</x:v>
      </x:c>
      <x:c r="L361" s="12" t="n">
        <x:f>K361-(G361*J361)</x:f>
        <x:v>86.549</x:v>
      </x:c>
      <x:c r="M361" s="16" t="n">
        <x:f>IFERROR(L361/K361,0)</x:f>
        <x:v>0.3706134998222919</x:v>
      </x:c>
    </x:row>
    <x:row r="362">
      <x:c r="A362" t="str">
        <x:v>ORD-00361</x:v>
      </x:c>
      <x:c r="B362" s="10" t="n">
        <x:v>46039</x:v>
      </x:c>
      <x:c r="C362" t="str">
        <x:v>Southeast</x:v>
      </x:c>
      <x:c r="D362" t="str">
        <x:v>Home</x:v>
      </x:c>
      <x:c r="E362" t="str">
        <x:v>Air Purifier</x:v>
      </x:c>
      <x:c r="F362" t="str">
        <x:v>Ana</x:v>
      </x:c>
      <x:c r="G362" t="n">
        <x:v>2</x:v>
      </x:c>
      <x:c r="H362" s="12" t="n">
        <x:v>186.24</x:v>
      </x:c>
      <x:c r="I362" s="14" t="n">
        <x:v>0.15</x:v>
      </x:c>
      <x:c r="J362" s="12" t="n">
        <x:v>109.62</x:v>
      </x:c>
      <x:c r="K362" s="12" t="n">
        <x:f>G362*H362*(1-I362)</x:f>
        <x:v>316.608</x:v>
      </x:c>
      <x:c r="L362" s="12" t="n">
        <x:f>K362-(G362*J362)</x:f>
        <x:v>97.368</x:v>
      </x:c>
      <x:c r="M362" s="16" t="n">
        <x:f>IFERROR(L362/K362,0)</x:f>
        <x:v>0.30753486961795024</x:v>
      </x:c>
    </x:row>
    <x:row r="363">
      <x:c r="A363" t="str">
        <x:v>ORD-00362</x:v>
      </x:c>
      <x:c r="B363" s="10" t="n">
        <x:v>46264</x:v>
      </x:c>
      <x:c r="C363" t="str">
        <x:v>South</x:v>
      </x:c>
      <x:c r="D363" t="str">
        <x:v>Office</x:v>
      </x:c>
      <x:c r="E363" t="str">
        <x:v>Desk Lamp</x:v>
      </x:c>
      <x:c r="F363" t="str">
        <x:v>Felipe</x:v>
      </x:c>
      <x:c r="G363" t="n">
        <x:v>7</x:v>
      </x:c>
      <x:c r="H363" s="12" t="n">
        <x:v>54.76</x:v>
      </x:c>
      <x:c r="I363" s="14" t="n">
        <x:v>0.15</x:v>
      </x:c>
      <x:c r="J363" s="12" t="n">
        <x:v>23.56</x:v>
      </x:c>
      <x:c r="K363" s="12" t="n">
        <x:f>G363*H363*(1-I363)</x:f>
        <x:v>325.822</x:v>
      </x:c>
      <x:c r="L363" s="12" t="n">
        <x:f>K363-(G363*J363)</x:f>
        <x:v>160.90200000000002</x:v>
      </x:c>
      <x:c r="M363" s="16" t="n">
        <x:f>IFERROR(L363/K363,0)</x:f>
        <x:v>0.4938340566321489</x:v>
      </x:c>
    </x:row>
    <x:row r="364">
      <x:c r="A364" t="str">
        <x:v>ORD-00363</x:v>
      </x:c>
      <x:c r="B364" s="10" t="n">
        <x:v>46132</x:v>
      </x:c>
      <x:c r="C364" t="str">
        <x:v>Southeast</x:v>
      </x:c>
      <x:c r="D364" t="str">
        <x:v>Office</x:v>
      </x:c>
      <x:c r="E364" t="str">
        <x:v>Office Chair</x:v>
      </x:c>
      <x:c r="F364" t="str">
        <x:v>Elisa</x:v>
      </x:c>
      <x:c r="G364" t="n">
        <x:v>5</x:v>
      </x:c>
      <x:c r="H364" s="12" t="n">
        <x:v>228.69</x:v>
      </x:c>
      <x:c r="I364" s="14" t="n">
        <x:v>0</x:v>
      </x:c>
      <x:c r="J364" s="12" t="n">
        <x:v>127.63</x:v>
      </x:c>
      <x:c r="K364" s="12" t="n">
        <x:f>G364*H364*(1-I364)</x:f>
        <x:v>1143.45</x:v>
      </x:c>
      <x:c r="L364" s="12" t="n">
        <x:f>K364-(G364*J364)</x:f>
        <x:v>505.30000000000007</x:v>
      </x:c>
      <x:c r="M364" s="16" t="n">
        <x:f>IFERROR(L364/K364,0)</x:f>
        <x:v>0.44190826009007833</x:v>
      </x:c>
    </x:row>
    <x:row r="365">
      <x:c r="A365" t="str">
        <x:v>ORD-00364</x:v>
      </x:c>
      <x:c r="B365" s="10" t="n">
        <x:v>46180</x:v>
      </x:c>
      <x:c r="C365" t="str">
        <x:v>Southeast</x:v>
      </x:c>
      <x:c r="D365" t="str">
        <x:v>Accessories</x:v>
      </x:c>
      <x:c r="E365" t="str">
        <x:v>Backpack</x:v>
      </x:c>
      <x:c r="F365" t="str">
        <x:v>Diego</x:v>
      </x:c>
      <x:c r="G365" t="n">
        <x:v>7</x:v>
      </x:c>
      <x:c r="H365" s="12" t="n">
        <x:v>85.26</x:v>
      </x:c>
      <x:c r="I365" s="14" t="n">
        <x:v>0.15</x:v>
      </x:c>
      <x:c r="J365" s="12" t="n">
        <x:v>41.34</x:v>
      </x:c>
      <x:c r="K365" s="12" t="n">
        <x:f>G365*H365*(1-I365)</x:f>
        <x:v>507.297</x:v>
      </x:c>
      <x:c r="L365" s="12" t="n">
        <x:f>K365-(G365*J365)</x:f>
        <x:v>217.91700000000003</x:v>
      </x:c>
      <x:c r="M365" s="16" t="n">
        <x:f>IFERROR(L365/K365,0)</x:f>
        <x:v>0.42956492942004393</x:v>
      </x:c>
    </x:row>
    <x:row r="366">
      <x:c r="A366" t="str">
        <x:v>ORD-00365</x:v>
      </x:c>
      <x:c r="B366" s="10" t="n">
        <x:v>46058</x:v>
      </x:c>
      <x:c r="C366" t="str">
        <x:v>South</x:v>
      </x:c>
      <x:c r="D366" t="str">
        <x:v>Office</x:v>
      </x:c>
      <x:c r="E366" t="str">
        <x:v>Desk Lamp</x:v>
      </x:c>
      <x:c r="F366" t="str">
        <x:v>Elisa</x:v>
      </x:c>
      <x:c r="G366" t="n">
        <x:v>1</x:v>
      </x:c>
      <x:c r="H366" s="12" t="n">
        <x:v>56.67</x:v>
      </x:c>
      <x:c r="I366" s="14" t="n">
        <x:v>0.2</x:v>
      </x:c>
      <x:c r="J366" s="12" t="n">
        <x:v>23.95</x:v>
      </x:c>
      <x:c r="K366" s="12" t="n">
        <x:f>G366*H366*(1-I366)</x:f>
        <x:v>45.336000000000006</x:v>
      </x:c>
      <x:c r="L366" s="12" t="n">
        <x:f>K366-(G366*J366)</x:f>
        <x:v>21.386000000000006</x:v>
      </x:c>
      <x:c r="M366" s="16" t="n">
        <x:f>IFERROR(L366/K366,0)</x:f>
        <x:v>0.471722251632257</x:v>
      </x:c>
    </x:row>
    <x:row r="367">
      <x:c r="A367" t="str">
        <x:v>ORD-00366</x:v>
      </x:c>
      <x:c r="B367" s="10" t="n">
        <x:v>46223</x:v>
      </x:c>
      <x:c r="C367" t="str">
        <x:v>South</x:v>
      </x:c>
      <x:c r="D367" t="str">
        <x:v>Accessories</x:v>
      </x:c>
      <x:c r="E367" t="str">
        <x:v>Backpack</x:v>
      </x:c>
      <x:c r="F367" t="str">
        <x:v>Carla</x:v>
      </x:c>
      <x:c r="G367" t="n">
        <x:v>5</x:v>
      </x:c>
      <x:c r="H367" s="12" t="n">
        <x:v>84.04</x:v>
      </x:c>
      <x:c r="I367" s="14" t="n">
        <x:v>0</x:v>
      </x:c>
      <x:c r="J367" s="12" t="n">
        <x:v>41.62</x:v>
      </x:c>
      <x:c r="K367" s="12" t="n">
        <x:f>G367*H367*(1-I367)</x:f>
        <x:v>420.20000000000005</x:v>
      </x:c>
      <x:c r="L367" s="12" t="n">
        <x:f>K367-(G367*J367)</x:f>
        <x:v>212.10000000000005</x:v>
      </x:c>
      <x:c r="M367" s="16" t="n">
        <x:f>IFERROR(L367/K367,0)</x:f>
        <x:v>0.5047596382674917</x:v>
      </x:c>
    </x:row>
    <x:row r="368">
      <x:c r="A368" t="str">
        <x:v>ORD-00367</x:v>
      </x:c>
      <x:c r="B368" s="10" t="n">
        <x:v>46037</x:v>
      </x:c>
      <x:c r="C368" t="str">
        <x:v>Midwest</x:v>
      </x:c>
      <x:c r="D368" t="str">
        <x:v>Home</x:v>
      </x:c>
      <x:c r="E368" t="str">
        <x:v>Smart Lamp</x:v>
      </x:c>
      <x:c r="F368" t="str">
        <x:v>Ana</x:v>
      </x:c>
      <x:c r="G368" t="n">
        <x:v>6</x:v>
      </x:c>
      <x:c r="H368" s="12" t="n">
        <x:v>68.25</x:v>
      </x:c>
      <x:c r="I368" s="14" t="n">
        <x:v>0.1</x:v>
      </x:c>
      <x:c r="J368" s="12" t="n">
        <x:v>29.83</x:v>
      </x:c>
      <x:c r="K368" s="12" t="n">
        <x:f>G368*H368*(1-I368)</x:f>
        <x:v>368.55</x:v>
      </x:c>
      <x:c r="L368" s="12" t="n">
        <x:f>K368-(G368*J368)</x:f>
        <x:v>189.57000000000002</x:v>
      </x:c>
      <x:c r="M368" s="16" t="n">
        <x:f>IFERROR(L368/K368,0)</x:f>
        <x:v>0.5143671143671145</x:v>
      </x:c>
    </x:row>
    <x:row r="369">
      <x:c r="A369" t="str">
        <x:v>ORD-00368</x:v>
      </x:c>
      <x:c r="B369" s="10" t="n">
        <x:v>46086</x:v>
      </x:c>
      <x:c r="C369" t="str">
        <x:v>Northeast</x:v>
      </x:c>
      <x:c r="D369" t="str">
        <x:v>Accessories</x:v>
      </x:c>
      <x:c r="E369" t="str">
        <x:v>Webcam HD</x:v>
      </x:c>
      <x:c r="F369" t="str">
        <x:v>Diego</x:v>
      </x:c>
      <x:c r="G369" t="n">
        <x:v>1</x:v>
      </x:c>
      <x:c r="H369" s="12" t="n">
        <x:v>99.3</x:v>
      </x:c>
      <x:c r="I369" s="14" t="n">
        <x:v>0.1</x:v>
      </x:c>
      <x:c r="J369" s="12" t="n">
        <x:v>48.42</x:v>
      </x:c>
      <x:c r="K369" s="12" t="n">
        <x:f>G369*H369*(1-I369)</x:f>
        <x:v>89.37</x:v>
      </x:c>
      <x:c r="L369" s="12" t="n">
        <x:f>K369-(G369*J369)</x:f>
        <x:v>40.95</x:v>
      </x:c>
      <x:c r="M369" s="16" t="n">
        <x:f>IFERROR(L369/K369,0)</x:f>
        <x:v>0.4582074521651561</x:v>
      </x:c>
    </x:row>
    <x:row r="370">
      <x:c r="A370" t="str">
        <x:v>ORD-00369</x:v>
      </x:c>
      <x:c r="B370" s="10" t="n">
        <x:v>46113</x:v>
      </x:c>
      <x:c r="C370" t="str">
        <x:v>North</x:v>
      </x:c>
      <x:c r="D370" t="str">
        <x:v>Office</x:v>
      </x:c>
      <x:c r="E370" t="str">
        <x:v>Office Chair</x:v>
      </x:c>
      <x:c r="F370" t="str">
        <x:v>Elisa</x:v>
      </x:c>
      <x:c r="G370" t="n">
        <x:v>4</x:v>
      </x:c>
      <x:c r="H370" s="12" t="n">
        <x:v>227.16</x:v>
      </x:c>
      <x:c r="I370" s="14" t="n">
        <x:v>0.05</x:v>
      </x:c>
      <x:c r="J370" s="12" t="n">
        <x:v>131.93</x:v>
      </x:c>
      <x:c r="K370" s="12" t="n">
        <x:f>G370*H370*(1-I370)</x:f>
        <x:v>863.208</x:v>
      </x:c>
      <x:c r="L370" s="12" t="n">
        <x:f>K370-(G370*J370)</x:f>
        <x:v>335.48799999999994</x:v>
      </x:c>
      <x:c r="M370" s="16" t="n">
        <x:f>IFERROR(L370/K370,0)</x:f>
        <x:v>0.3886525611440116</x:v>
      </x:c>
    </x:row>
    <x:row r="371">
      <x:c r="A371" t="str">
        <x:v>ORD-00370</x:v>
      </x:c>
      <x:c r="B371" s="10" t="n">
        <x:v>46030</x:v>
      </x:c>
      <x:c r="C371" t="str">
        <x:v>Northeast</x:v>
      </x:c>
      <x:c r="D371" t="str">
        <x:v>Accessories</x:v>
      </x:c>
      <x:c r="E371" t="str">
        <x:v>Webcam HD</x:v>
      </x:c>
      <x:c r="F371" t="str">
        <x:v>Diego</x:v>
      </x:c>
      <x:c r="G371" t="n">
        <x:v>3</x:v>
      </x:c>
      <x:c r="H371" s="12" t="n">
        <x:v>92.81</x:v>
      </x:c>
      <x:c r="I371" s="14" t="n">
        <x:v>0.05</x:v>
      </x:c>
      <x:c r="J371" s="12" t="n">
        <x:v>49.41</x:v>
      </x:c>
      <x:c r="K371" s="12" t="n">
        <x:f>G371*H371*(1-I371)</x:f>
        <x:v>264.50849999999997</x:v>
      </x:c>
      <x:c r="L371" s="12" t="n">
        <x:f>K371-(G371*J371)</x:f>
        <x:v>116.27849999999998</x:v>
      </x:c>
      <x:c r="M371" s="16" t="n">
        <x:f>IFERROR(L371/K371,0)</x:f>
        <x:v>0.4396021299882612</x:v>
      </x:c>
    </x:row>
    <x:row r="372">
      <x:c r="A372" t="str">
        <x:v>ORD-00371</x:v>
      </x:c>
      <x:c r="B372" s="10" t="n">
        <x:v>46161</x:v>
      </x:c>
      <x:c r="C372" t="str">
        <x:v>Southeast</x:v>
      </x:c>
      <x:c r="D372" t="str">
        <x:v>Home</x:v>
      </x:c>
      <x:c r="E372" t="str">
        <x:v>Air Purifier</x:v>
      </x:c>
      <x:c r="F372" t="str">
        <x:v>Diego</x:v>
      </x:c>
      <x:c r="G372" t="n">
        <x:v>2</x:v>
      </x:c>
      <x:c r="H372" s="12" t="n">
        <x:v>182.55</x:v>
      </x:c>
      <x:c r="I372" s="14" t="n">
        <x:v>0</x:v>
      </x:c>
      <x:c r="J372" s="12" t="n">
        <x:v>107.91</x:v>
      </x:c>
      <x:c r="K372" s="12" t="n">
        <x:f>G372*H372*(1-I372)</x:f>
        <x:v>365.1</x:v>
      </x:c>
      <x:c r="L372" s="12" t="n">
        <x:f>K372-(G372*J372)</x:f>
        <x:v>149.28000000000003</x:v>
      </x:c>
      <x:c r="M372" s="16" t="n">
        <x:f>IFERROR(L372/K372,0)</x:f>
        <x:v>0.408874281018899</x:v>
      </x:c>
    </x:row>
    <x:row r="373">
      <x:c r="A373" t="str">
        <x:v>ORD-00372</x:v>
      </x:c>
      <x:c r="B373" s="10" t="n">
        <x:v>46023</x:v>
      </x:c>
      <x:c r="C373" t="str">
        <x:v>Southeast</x:v>
      </x:c>
      <x:c r="D373" t="str">
        <x:v>Office</x:v>
      </x:c>
      <x:c r="E373" t="str">
        <x:v>Office Chair</x:v>
      </x:c>
      <x:c r="F373" t="str">
        <x:v>Carla</x:v>
      </x:c>
      <x:c r="G373" t="n">
        <x:v>6</x:v>
      </x:c>
      <x:c r="H373" s="12" t="n">
        <x:v>229.39</x:v>
      </x:c>
      <x:c r="I373" s="14" t="n">
        <x:v>0.1</x:v>
      </x:c>
      <x:c r="J373" s="12" t="n">
        <x:v>132.89</x:v>
      </x:c>
      <x:c r="K373" s="12" t="n">
        <x:f>G373*H373*(1-I373)</x:f>
        <x:v>1238.706</x:v>
      </x:c>
      <x:c r="L373" s="12" t="n">
        <x:f>K373-(G373*J373)</x:f>
        <x:v>441.366</x:v>
      </x:c>
      <x:c r="M373" s="16" t="n">
        <x:f>IFERROR(L373/K373,0)</x:f>
        <x:v>0.35631215155169993</x:v>
      </x:c>
    </x:row>
    <x:row r="374">
      <x:c r="A374" t="str">
        <x:v>ORD-00373</x:v>
      </x:c>
      <x:c r="B374" s="10" t="n">
        <x:v>46038</x:v>
      </x:c>
      <x:c r="C374" t="str">
        <x:v>Southeast</x:v>
      </x:c>
      <x:c r="D374" t="str">
        <x:v>Office</x:v>
      </x:c>
      <x:c r="E374" t="str">
        <x:v>Office Chair</x:v>
      </x:c>
      <x:c r="F374" t="str">
        <x:v>Diego</x:v>
      </x:c>
      <x:c r="G374" t="n">
        <x:v>6</x:v>
      </x:c>
      <x:c r="H374" s="12" t="n">
        <x:v>218.6</x:v>
      </x:c>
      <x:c r="I374" s="14" t="n">
        <x:v>0.2</x:v>
      </x:c>
      <x:c r="J374" s="12" t="n">
        <x:v>133.52</x:v>
      </x:c>
      <x:c r="K374" s="12" t="n">
        <x:f>G374*H374*(1-I374)</x:f>
        <x:v>1049.28</x:v>
      </x:c>
      <x:c r="L374" s="12" t="n">
        <x:f>K374-(G374*J374)</x:f>
        <x:v>248.15999999999985</x:v>
      </x:c>
      <x:c r="M374" s="16" t="n">
        <x:f>IFERROR(L374/K374,0)</x:f>
        <x:v>0.23650503202195777</x:v>
      </x:c>
    </x:row>
    <x:row r="375">
      <x:c r="A375" t="str">
        <x:v>ORD-00374</x:v>
      </x:c>
      <x:c r="B375" s="10" t="n">
        <x:v>46173</x:v>
      </x:c>
      <x:c r="C375" t="str">
        <x:v>Southeast</x:v>
      </x:c>
      <x:c r="D375" t="str">
        <x:v>Accessories</x:v>
      </x:c>
      <x:c r="E375" t="str">
        <x:v>Backpack</x:v>
      </x:c>
      <x:c r="F375" t="str">
        <x:v>Felipe</x:v>
      </x:c>
      <x:c r="G375" t="n">
        <x:v>3</x:v>
      </x:c>
      <x:c r="H375" s="12" t="n">
        <x:v>87.2</x:v>
      </x:c>
      <x:c r="I375" s="14" t="n">
        <x:v>0.2</x:v>
      </x:c>
      <x:c r="J375" s="12" t="n">
        <x:v>42.08</x:v>
      </x:c>
      <x:c r="K375" s="12" t="n">
        <x:f>G375*H375*(1-I375)</x:f>
        <x:v>209.28000000000003</x:v>
      </x:c>
      <x:c r="L375" s="12" t="n">
        <x:f>K375-(G375*J375)</x:f>
        <x:v>83.04000000000003</x:v>
      </x:c>
      <x:c r="M375" s="16" t="n">
        <x:f>IFERROR(L375/K375,0)</x:f>
        <x:v>0.3967889908256882</x:v>
      </x:c>
    </x:row>
    <x:row r="376">
      <x:c r="A376" t="str">
        <x:v>ORD-00375</x:v>
      </x:c>
      <x:c r="B376" s="10" t="n">
        <x:v>46147</x:v>
      </x:c>
      <x:c r="C376" t="str">
        <x:v>Northeast</x:v>
      </x:c>
      <x:c r="D376" t="str">
        <x:v>Office</x:v>
      </x:c>
      <x:c r="E376" t="str">
        <x:v>Desk Lamp</x:v>
      </x:c>
      <x:c r="F376" t="str">
        <x:v>Carla</x:v>
      </x:c>
      <x:c r="G376" t="n">
        <x:v>6</x:v>
      </x:c>
      <x:c r="H376" s="12" t="n">
        <x:v>55.72</x:v>
      </x:c>
      <x:c r="I376" s="14" t="n">
        <x:v>0</x:v>
      </x:c>
      <x:c r="J376" s="12" t="n">
        <x:v>23.73</x:v>
      </x:c>
      <x:c r="K376" s="12" t="n">
        <x:f>G376*H376*(1-I376)</x:f>
        <x:v>334.32</x:v>
      </x:c>
      <x:c r="L376" s="12" t="n">
        <x:f>K376-(G376*J376)</x:f>
        <x:v>191.94</x:v>
      </x:c>
      <x:c r="M376" s="16" t="n">
        <x:f>IFERROR(L376/K376,0)</x:f>
        <x:v>0.5741206030150754</x:v>
      </x:c>
    </x:row>
    <x:row r="377">
      <x:c r="A377" t="str">
        <x:v>ORD-00376</x:v>
      </x:c>
      <x:c r="B377" s="10" t="n">
        <x:v>46210</x:v>
      </x:c>
      <x:c r="C377" t="str">
        <x:v>Northeast</x:v>
      </x:c>
      <x:c r="D377" t="str">
        <x:v>Office</x:v>
      </x:c>
      <x:c r="E377" t="str">
        <x:v>Office Chair</x:v>
      </x:c>
      <x:c r="F377" t="str">
        <x:v>Elisa</x:v>
      </x:c>
      <x:c r="G377" t="n">
        <x:v>1</x:v>
      </x:c>
      <x:c r="H377" s="12" t="n">
        <x:v>229.98</x:v>
      </x:c>
      <x:c r="I377" s="14" t="n">
        <x:v>0.2</x:v>
      </x:c>
      <x:c r="J377" s="12" t="n">
        <x:v>129.95</x:v>
      </x:c>
      <x:c r="K377" s="12" t="n">
        <x:f>G377*H377*(1-I377)</x:f>
        <x:v>183.984</x:v>
      </x:c>
      <x:c r="L377" s="12" t="n">
        <x:f>K377-(G377*J377)</x:f>
        <x:v>54.03400000000002</x:v>
      </x:c>
      <x:c r="M377" s="16" t="n">
        <x:f>IFERROR(L377/K377,0)</x:f>
        <x:v>0.29368858161579275</x:v>
      </x:c>
    </x:row>
    <x:row r="378">
      <x:c r="A378" t="str">
        <x:v>ORD-00377</x:v>
      </x:c>
      <x:c r="B378" s="10" t="n">
        <x:v>46031</x:v>
      </x:c>
      <x:c r="C378" t="str">
        <x:v>Southeast</x:v>
      </x:c>
      <x:c r="D378" t="str">
        <x:v>Accessories</x:v>
      </x:c>
      <x:c r="E378" t="str">
        <x:v>Webcam HD</x:v>
      </x:c>
      <x:c r="F378" t="str">
        <x:v>Carla</x:v>
      </x:c>
      <x:c r="G378" t="n">
        <x:v>4</x:v>
      </x:c>
      <x:c r="H378" s="12" t="n">
        <x:v>92.09</x:v>
      </x:c>
      <x:c r="I378" s="14" t="n">
        <x:v>0.1</x:v>
      </x:c>
      <x:c r="J378" s="12" t="n">
        <x:v>48.23</x:v>
      </x:c>
      <x:c r="K378" s="12" t="n">
        <x:f>G378*H378*(1-I378)</x:f>
        <x:v>331.524</x:v>
      </x:c>
      <x:c r="L378" s="12" t="n">
        <x:f>K378-(G378*J378)</x:f>
        <x:v>138.604</x:v>
      </x:c>
      <x:c r="M378" s="16" t="n">
        <x:f>IFERROR(L378/K378,0)</x:f>
        <x:v>0.41808134554361076</x:v>
      </x:c>
    </x:row>
    <x:row r="379">
      <x:c r="A379" t="str">
        <x:v>ORD-00378</x:v>
      </x:c>
      <x:c r="B379" s="10" t="n">
        <x:v>46213</x:v>
      </x:c>
      <x:c r="C379" t="str">
        <x:v>Southeast</x:v>
      </x:c>
      <x:c r="D379" t="str">
        <x:v>Accessories</x:v>
      </x:c>
      <x:c r="E379" t="str">
        <x:v>Backpack</x:v>
      </x:c>
      <x:c r="F379" t="str">
        <x:v>Felipe</x:v>
      </x:c>
      <x:c r="G379" t="n">
        <x:v>3</x:v>
      </x:c>
      <x:c r="H379" s="12" t="n">
        <x:v>88.97</x:v>
      </x:c>
      <x:c r="I379" s="14" t="n">
        <x:v>0.1</x:v>
      </x:c>
      <x:c r="J379" s="12" t="n">
        <x:v>42.89</x:v>
      </x:c>
      <x:c r="K379" s="12" t="n">
        <x:f>G379*H379*(1-I379)</x:f>
        <x:v>240.21899999999997</x:v>
      </x:c>
      <x:c r="L379" s="12" t="n">
        <x:f>K379-(G379*J379)</x:f>
        <x:v>111.54899999999995</x:v>
      </x:c>
      <x:c r="M379" s="16" t="n">
        <x:f>IFERROR(L379/K379,0)</x:f>
        <x:v>0.4643637680616436</x:v>
      </x:c>
    </x:row>
    <x:row r="380">
      <x:c r="A380" t="str">
        <x:v>ORD-00379</x:v>
      </x:c>
      <x:c r="B380" s="10" t="n">
        <x:v>46186</x:v>
      </x:c>
      <x:c r="C380" t="str">
        <x:v>Northeast</x:v>
      </x:c>
      <x:c r="D380" t="str">
        <x:v>Accessories</x:v>
      </x:c>
      <x:c r="E380" t="str">
        <x:v>Backpack</x:v>
      </x:c>
      <x:c r="F380" t="str">
        <x:v>Carla</x:v>
      </x:c>
      <x:c r="G380" t="n">
        <x:v>1</x:v>
      </x:c>
      <x:c r="H380" s="12" t="n">
        <x:v>83.51</x:v>
      </x:c>
      <x:c r="I380" s="14" t="n">
        <x:v>0</x:v>
      </x:c>
      <x:c r="J380" s="12" t="n">
        <x:v>41.3</x:v>
      </x:c>
      <x:c r="K380" s="12" t="n">
        <x:f>G380*H380*(1-I380)</x:f>
        <x:v>83.51</x:v>
      </x:c>
      <x:c r="L380" s="12" t="n">
        <x:f>K380-(G380*J380)</x:f>
        <x:v>42.21000000000001</x:v>
      </x:c>
      <x:c r="M380" s="16" t="n">
        <x:f>IFERROR(L380/K380,0)</x:f>
        <x:v>0.5054484492875105</x:v>
      </x:c>
    </x:row>
    <x:row r="381">
      <x:c r="A381" t="str">
        <x:v>ORD-00380</x:v>
      </x:c>
      <x:c r="B381" s="10" t="n">
        <x:v>46224</x:v>
      </x:c>
      <x:c r="C381" t="str">
        <x:v>Southeast</x:v>
      </x:c>
      <x:c r="D381" t="str">
        <x:v>Technology</x:v>
      </x:c>
      <x:c r="E381" t="str">
        <x:v>Laptop Pro</x:v>
      </x:c>
      <x:c r="F381" t="str">
        <x:v>Diego</x:v>
      </x:c>
      <x:c r="G381" t="n">
        <x:v>7</x:v>
      </x:c>
      <x:c r="H381" s="12" t="n">
        <x:v>1197.32</x:v>
      </x:c>
      <x:c r="I381" s="14" t="n">
        <x:v>0.05</x:v>
      </x:c>
      <x:c r="J381" s="12" t="n">
        <x:v>840.07</x:v>
      </x:c>
      <x:c r="K381" s="12" t="n">
        <x:f>G381*H381*(1-I381)</x:f>
        <x:v>7962.177999999999</x:v>
      </x:c>
      <x:c r="L381" s="12" t="n">
        <x:f>K381-(G381*J381)</x:f>
        <x:v>2081.6879999999983</x:v>
      </x:c>
      <x:c r="M381" s="16" t="n">
        <x:f>IFERROR(L381/K381,0)</x:f>
        <x:v>0.2614470563205192</x:v>
      </x:c>
    </x:row>
    <x:row r="382">
      <x:c r="A382" t="str">
        <x:v>ORD-00381</x:v>
      </x:c>
      <x:c r="B382" s="10" t="n">
        <x:v>46149</x:v>
      </x:c>
      <x:c r="C382" t="str">
        <x:v>North</x:v>
      </x:c>
      <x:c r="D382" t="str">
        <x:v>Accessories</x:v>
      </x:c>
      <x:c r="E382" t="str">
        <x:v>Webcam HD</x:v>
      </x:c>
      <x:c r="F382" t="str">
        <x:v>Felipe</x:v>
      </x:c>
      <x:c r="G382" t="n">
        <x:v>7</x:v>
      </x:c>
      <x:c r="H382" s="12" t="n">
        <x:v>95.3</x:v>
      </x:c>
      <x:c r="I382" s="14" t="n">
        <x:v>0</x:v>
      </x:c>
      <x:c r="J382" s="12" t="n">
        <x:v>49.11</x:v>
      </x:c>
      <x:c r="K382" s="12" t="n">
        <x:f>G382*H382*(1-I382)</x:f>
        <x:v>667.1</x:v>
      </x:c>
      <x:c r="L382" s="12" t="n">
        <x:f>K382-(G382*J382)</x:f>
        <x:v>323.33000000000004</x:v>
      </x:c>
      <x:c r="M382" s="16" t="n">
        <x:f>IFERROR(L382/K382,0)</x:f>
        <x:v>0.4846799580272823</x:v>
      </x:c>
    </x:row>
    <x:row r="383">
      <x:c r="A383" t="str">
        <x:v>ORD-00382</x:v>
      </x:c>
      <x:c r="B383" s="10" t="n">
        <x:v>46217</x:v>
      </x:c>
      <x:c r="C383" t="str">
        <x:v>Northeast</x:v>
      </x:c>
      <x:c r="D383" t="str">
        <x:v>Office</x:v>
      </x:c>
      <x:c r="E383" t="str">
        <x:v>Standing Desk</x:v>
      </x:c>
      <x:c r="F383" t="str">
        <x:v>Carla</x:v>
      </x:c>
      <x:c r="G383" t="n">
        <x:v>2</x:v>
      </x:c>
      <x:c r="H383" s="12" t="n">
        <x:v>404.46</x:v>
      </x:c>
      <x:c r="I383" s="14" t="n">
        <x:v>0.1</x:v>
      </x:c>
      <x:c r="J383" s="12" t="n">
        <x:v>264.87</x:v>
      </x:c>
      <x:c r="K383" s="12" t="n">
        <x:f>G383*H383*(1-I383)</x:f>
        <x:v>728.028</x:v>
      </x:c>
      <x:c r="L383" s="12" t="n">
        <x:f>K383-(G383*J383)</x:f>
        <x:v>198.288</x:v>
      </x:c>
      <x:c r="M383" s="16" t="n">
        <x:f>IFERROR(L383/K383,0)</x:f>
        <x:v>0.27236315086782376</x:v>
      </x:c>
    </x:row>
    <x:row r="384">
      <x:c r="A384" t="str">
        <x:v>ORD-00383</x:v>
      </x:c>
      <x:c r="B384" s="10" t="n">
        <x:v>46049</x:v>
      </x:c>
      <x:c r="C384" t="str">
        <x:v>Southeast</x:v>
      </x:c>
      <x:c r="D384" t="str">
        <x:v>Office</x:v>
      </x:c>
      <x:c r="E384" t="str">
        <x:v>Standing Desk</x:v>
      </x:c>
      <x:c r="F384" t="str">
        <x:v>Ana</x:v>
      </x:c>
      <x:c r="G384" t="n">
        <x:v>3</x:v>
      </x:c>
      <x:c r="H384" s="12" t="n">
        <x:v>423.88</x:v>
      </x:c>
      <x:c r="I384" s="14" t="n">
        <x:v>0.1</x:v>
      </x:c>
      <x:c r="J384" s="12" t="n">
        <x:v>276.72</x:v>
      </x:c>
      <x:c r="K384" s="12" t="n">
        <x:f>G384*H384*(1-I384)</x:f>
        <x:v>1144.4759999999999</x:v>
      </x:c>
      <x:c r="L384" s="12" t="n">
        <x:f>K384-(G384*J384)</x:f>
        <x:v>314.3159999999998</x:v>
      </x:c>
      <x:c r="M384" s="16" t="n">
        <x:f>IFERROR(L384/K384,0)</x:f>
        <x:v>0.2746374760152243</x:v>
      </x:c>
    </x:row>
    <x:row r="385">
      <x:c r="A385" t="str">
        <x:v>ORD-00384</x:v>
      </x:c>
      <x:c r="B385" s="10" t="n">
        <x:v>46109</x:v>
      </x:c>
      <x:c r="C385" t="str">
        <x:v>Northeast</x:v>
      </x:c>
      <x:c r="D385" t="str">
        <x:v>Home</x:v>
      </x:c>
      <x:c r="E385" t="str">
        <x:v>Smart Lamp</x:v>
      </x:c>
      <x:c r="F385" t="str">
        <x:v>Diego</x:v>
      </x:c>
      <x:c r="G385" t="n">
        <x:v>1</x:v>
      </x:c>
      <x:c r="H385" s="12" t="n">
        <x:v>66.22</x:v>
      </x:c>
      <x:c r="I385" s="14" t="n">
        <x:v>0.05</x:v>
      </x:c>
      <x:c r="J385" s="12" t="n">
        <x:v>29.3</x:v>
      </x:c>
      <x:c r="K385" s="12" t="n">
        <x:f>G385*H385*(1-I385)</x:f>
        <x:v>62.909</x:v>
      </x:c>
      <x:c r="L385" s="12" t="n">
        <x:f>K385-(G385*J385)</x:f>
        <x:v>33.608999999999995</x:v>
      </x:c>
      <x:c r="M385" s="16" t="n">
        <x:f>IFERROR(L385/K385,0)</x:f>
        <x:v>0.5342478818611008</x:v>
      </x:c>
    </x:row>
    <x:row r="386">
      <x:c r="A386" t="str">
        <x:v>ORD-00385</x:v>
      </x:c>
      <x:c r="B386" s="10" t="n">
        <x:v>46063</x:v>
      </x:c>
      <x:c r="C386" t="str">
        <x:v>Southeast</x:v>
      </x:c>
      <x:c r="D386" t="str">
        <x:v>Accessories</x:v>
      </x:c>
      <x:c r="E386" t="str">
        <x:v>USB-C Hub</x:v>
      </x:c>
      <x:c r="F386" t="str">
        <x:v>Elisa</x:v>
      </x:c>
      <x:c r="G386" t="n">
        <x:v>4</x:v>
      </x:c>
      <x:c r="H386" s="12" t="n">
        <x:v>70.69</x:v>
      </x:c>
      <x:c r="I386" s="14" t="n">
        <x:v>0.05</x:v>
      </x:c>
      <x:c r="J386" s="12" t="n">
        <x:v>32.84</x:v>
      </x:c>
      <x:c r="K386" s="12" t="n">
        <x:f>G386*H386*(1-I386)</x:f>
        <x:v>268.62199999999996</x:v>
      </x:c>
      <x:c r="L386" s="12" t="n">
        <x:f>K386-(G386*J386)</x:f>
        <x:v>137.26199999999994</x:v>
      </x:c>
      <x:c r="M386" s="16" t="n">
        <x:f>IFERROR(L386/K386,0)</x:f>
        <x:v>0.510985697374005</x:v>
      </x:c>
    </x:row>
    <x:row r="387">
      <x:c r="A387" t="str">
        <x:v>ORD-00386</x:v>
      </x:c>
      <x:c r="B387" s="10" t="n">
        <x:v>46090</x:v>
      </x:c>
      <x:c r="C387" t="str">
        <x:v>Northeast</x:v>
      </x:c>
      <x:c r="D387" t="str">
        <x:v>Accessories</x:v>
      </x:c>
      <x:c r="E387" t="str">
        <x:v>USB-C Hub</x:v>
      </x:c>
      <x:c r="F387" t="str">
        <x:v>Bruno</x:v>
      </x:c>
      <x:c r="G387" t="n">
        <x:v>2</x:v>
      </x:c>
      <x:c r="H387" s="12" t="n">
        <x:v>70.8</x:v>
      </x:c>
      <x:c r="I387" s="14" t="n">
        <x:v>0</x:v>
      </x:c>
      <x:c r="J387" s="12" t="n">
        <x:v>32.7</x:v>
      </x:c>
      <x:c r="K387" s="12" t="n">
        <x:f>G387*H387*(1-I387)</x:f>
        <x:v>141.6</x:v>
      </x:c>
      <x:c r="L387" s="12" t="n">
        <x:f>K387-(G387*J387)</x:f>
        <x:v>76.19999999999999</x:v>
      </x:c>
      <x:c r="M387" s="16" t="n">
        <x:f>IFERROR(L387/K387,0)</x:f>
        <x:v>0.5381355932203389</x:v>
      </x:c>
    </x:row>
    <x:row r="388">
      <x:c r="A388" t="str">
        <x:v>ORD-00387</x:v>
      </x:c>
      <x:c r="B388" s="10" t="n">
        <x:v>46036</x:v>
      </x:c>
      <x:c r="C388" t="str">
        <x:v>South</x:v>
      </x:c>
      <x:c r="D388" t="str">
        <x:v>Home</x:v>
      </x:c>
      <x:c r="E388" t="str">
        <x:v>Air Purifier</x:v>
      </x:c>
      <x:c r="F388" t="str">
        <x:v>Ana</x:v>
      </x:c>
      <x:c r="G388" t="n">
        <x:v>5</x:v>
      </x:c>
      <x:c r="H388" s="12" t="n">
        <x:v>182.93</x:v>
      </x:c>
      <x:c r="I388" s="14" t="n">
        <x:v>0.15</x:v>
      </x:c>
      <x:c r="J388" s="12" t="n">
        <x:v>110.44</x:v>
      </x:c>
      <x:c r="K388" s="12" t="n">
        <x:f>G388*H388*(1-I388)</x:f>
        <x:v>777.4525000000001</x:v>
      </x:c>
      <x:c r="L388" s="12" t="n">
        <x:f>K388-(G388*J388)</x:f>
        <x:v>225.25250000000005</x:v>
      </x:c>
      <x:c r="M388" s="16" t="n">
        <x:f>IFERROR(L388/K388,0)</x:f>
        <x:v>0.2897315270064731</x:v>
      </x:c>
    </x:row>
    <x:row r="389">
      <x:c r="A389" t="str">
        <x:v>ORD-00388</x:v>
      </x:c>
      <x:c r="B389" s="10" t="n">
        <x:v>46029</x:v>
      </x:c>
      <x:c r="C389" t="str">
        <x:v>Southeast</x:v>
      </x:c>
      <x:c r="D389" t="str">
        <x:v>Accessories</x:v>
      </x:c>
      <x:c r="E389" t="str">
        <x:v>USB-C Hub</x:v>
      </x:c>
      <x:c r="F389" t="str">
        <x:v>Diego</x:v>
      </x:c>
      <x:c r="G389" t="n">
        <x:v>8</x:v>
      </x:c>
      <x:c r="H389" s="12" t="n">
        <x:v>69.14</x:v>
      </x:c>
      <x:c r="I389" s="14" t="n">
        <x:v>0.15</x:v>
      </x:c>
      <x:c r="J389" s="12" t="n">
        <x:v>32</x:v>
      </x:c>
      <x:c r="K389" s="12" t="n">
        <x:f>G389*H389*(1-I389)</x:f>
        <x:v>470.152</x:v>
      </x:c>
      <x:c r="L389" s="12" t="n">
        <x:f>K389-(G389*J389)</x:f>
        <x:v>214.152</x:v>
      </x:c>
      <x:c r="M389" s="16" t="n">
        <x:f>IFERROR(L389/K389,0)</x:f>
        <x:v>0.4554952440912726</x:v>
      </x:c>
    </x:row>
    <x:row r="390">
      <x:c r="A390" t="str">
        <x:v>ORD-00389</x:v>
      </x:c>
      <x:c r="B390" s="10" t="n">
        <x:v>46252</x:v>
      </x:c>
      <x:c r="C390" t="str">
        <x:v>Northeast</x:v>
      </x:c>
      <x:c r="D390" t="str">
        <x:v>Technology</x:v>
      </x:c>
      <x:c r="E390" t="str">
        <x:v>Monitor 27</x:v>
      </x:c>
      <x:c r="F390" t="str">
        <x:v>Diego</x:v>
      </x:c>
      <x:c r="G390" t="n">
        <x:v>7</x:v>
      </x:c>
      <x:c r="H390" s="12" t="n">
        <x:v>301.51</x:v>
      </x:c>
      <x:c r="I390" s="14" t="n">
        <x:v>0</x:v>
      </x:c>
      <x:c r="J390" s="12" t="n">
        <x:v>179.72</x:v>
      </x:c>
      <x:c r="K390" s="12" t="n">
        <x:f>G390*H390*(1-I390)</x:f>
        <x:v>2110.5699999999997</x:v>
      </x:c>
      <x:c r="L390" s="12" t="n">
        <x:f>K390-(G390*J390)</x:f>
        <x:v>852.5299999999997</x:v>
      </x:c>
      <x:c r="M390" s="16" t="n">
        <x:f>IFERROR(L390/K390,0)</x:f>
        <x:v>0.4039335345428012</x:v>
      </x:c>
    </x:row>
    <x:row r="391">
      <x:c r="A391" t="str">
        <x:v>ORD-00390</x:v>
      </x:c>
      <x:c r="B391" s="10" t="n">
        <x:v>46034</x:v>
      </x:c>
      <x:c r="C391" t="str">
        <x:v>Southeast</x:v>
      </x:c>
      <x:c r="D391" t="str">
        <x:v>Home</x:v>
      </x:c>
      <x:c r="E391" t="str">
        <x:v>Coffee Maker</x:v>
      </x:c>
      <x:c r="F391" t="str">
        <x:v>Felipe</x:v>
      </x:c>
      <x:c r="G391" t="n">
        <x:v>4</x:v>
      </x:c>
      <x:c r="H391" s="12" t="n">
        <x:v>126.35</x:v>
      </x:c>
      <x:c r="I391" s="14" t="n">
        <x:v>0.15</x:v>
      </x:c>
      <x:c r="J391" s="12" t="n">
        <x:v>71.1</x:v>
      </x:c>
      <x:c r="K391" s="12" t="n">
        <x:f>G391*H391*(1-I391)</x:f>
        <x:v>429.59</x:v>
      </x:c>
      <x:c r="L391" s="12" t="n">
        <x:f>K391-(G391*J391)</x:f>
        <x:v>145.19</x:v>
      </x:c>
      <x:c r="M391" s="16" t="n">
        <x:f>IFERROR(L391/K391,0)</x:f>
        <x:v>0.3379734165134198</x:v>
      </x:c>
    </x:row>
    <x:row r="392">
      <x:c r="A392" t="str">
        <x:v>ORD-00391</x:v>
      </x:c>
      <x:c r="B392" s="10" t="n">
        <x:v>46193</x:v>
      </x:c>
      <x:c r="C392" t="str">
        <x:v>Southeast</x:v>
      </x:c>
      <x:c r="D392" t="str">
        <x:v>Accessories</x:v>
      </x:c>
      <x:c r="E392" t="str">
        <x:v>Webcam HD</x:v>
      </x:c>
      <x:c r="F392" t="str">
        <x:v>Diego</x:v>
      </x:c>
      <x:c r="G392" t="n">
        <x:v>7</x:v>
      </x:c>
      <x:c r="H392" s="12" t="n">
        <x:v>96.24</x:v>
      </x:c>
      <x:c r="I392" s="14" t="n">
        <x:v>0.2</x:v>
      </x:c>
      <x:c r="J392" s="12" t="n">
        <x:v>48.37</x:v>
      </x:c>
      <x:c r="K392" s="12" t="n">
        <x:f>G392*H392*(1-I392)</x:f>
        <x:v>538.944</x:v>
      </x:c>
      <x:c r="L392" s="12" t="n">
        <x:f>K392-(G392*J392)</x:f>
        <x:v>200.35399999999998</x:v>
      </x:c>
      <x:c r="M392" s="16" t="n">
        <x:f>IFERROR(L392/K392,0)</x:f>
        <x:v>0.37175290939318373</x:v>
      </x:c>
    </x:row>
    <x:row r="393">
      <x:c r="A393" t="str">
        <x:v>ORD-00392</x:v>
      </x:c>
      <x:c r="B393" s="10" t="n">
        <x:v>46232</x:v>
      </x:c>
      <x:c r="C393" t="str">
        <x:v>South</x:v>
      </x:c>
      <x:c r="D393" t="str">
        <x:v>Home</x:v>
      </x:c>
      <x:c r="E393" t="str">
        <x:v>Smart Lamp</x:v>
      </x:c>
      <x:c r="F393" t="str">
        <x:v>Felipe</x:v>
      </x:c>
      <x:c r="G393" t="n">
        <x:v>4</x:v>
      </x:c>
      <x:c r="H393" s="12" t="n">
        <x:v>62.86</x:v>
      </x:c>
      <x:c r="I393" s="14" t="n">
        <x:v>0.05</x:v>
      </x:c>
      <x:c r="J393" s="12" t="n">
        <x:v>29.73</x:v>
      </x:c>
      <x:c r="K393" s="12" t="n">
        <x:f>G393*H393*(1-I393)</x:f>
        <x:v>238.868</x:v>
      </x:c>
      <x:c r="L393" s="12" t="n">
        <x:f>K393-(G393*J393)</x:f>
        <x:v>119.948</x:v>
      </x:c>
      <x:c r="M393" s="16" t="n">
        <x:f>IFERROR(L393/K393,0)</x:f>
        <x:v>0.5021518160657769</x:v>
      </x:c>
    </x:row>
    <x:row r="394">
      <x:c r="A394" t="str">
        <x:v>ORD-00393</x:v>
      </x:c>
      <x:c r="B394" s="10" t="n">
        <x:v>46031</x:v>
      </x:c>
      <x:c r="C394" t="str">
        <x:v>South</x:v>
      </x:c>
      <x:c r="D394" t="str">
        <x:v>Office</x:v>
      </x:c>
      <x:c r="E394" t="str">
        <x:v>Office Chair</x:v>
      </x:c>
      <x:c r="F394" t="str">
        <x:v>Bruno</x:v>
      </x:c>
      <x:c r="G394" t="n">
        <x:v>8</x:v>
      </x:c>
      <x:c r="H394" s="12" t="n">
        <x:v>230.69</x:v>
      </x:c>
      <x:c r="I394" s="14" t="n">
        <x:v>0</x:v>
      </x:c>
      <x:c r="J394" s="12" t="n">
        <x:v>133.72</x:v>
      </x:c>
      <x:c r="K394" s="12" t="n">
        <x:f>G394*H394*(1-I394)</x:f>
        <x:v>1845.52</x:v>
      </x:c>
      <x:c r="L394" s="12" t="n">
        <x:f>K394-(G394*J394)</x:f>
        <x:v>775.76</x:v>
      </x:c>
      <x:c r="M394" s="16" t="n">
        <x:f>IFERROR(L394/K394,0)</x:f>
        <x:v>0.42034765269409163</x:v>
      </x:c>
    </x:row>
    <x:row r="395">
      <x:c r="A395" t="str">
        <x:v>ORD-00394</x:v>
      </x:c>
      <x:c r="B395" s="10" t="n">
        <x:v>46055</x:v>
      </x:c>
      <x:c r="C395" t="str">
        <x:v>Southeast</x:v>
      </x:c>
      <x:c r="D395" t="str">
        <x:v>Technology</x:v>
      </x:c>
      <x:c r="E395" t="str">
        <x:v>Monitor 27</x:v>
      </x:c>
      <x:c r="F395" t="str">
        <x:v>Elisa</x:v>
      </x:c>
      <x:c r="G395" t="n">
        <x:v>7</x:v>
      </x:c>
      <x:c r="H395" s="12" t="n">
        <x:v>299.87</x:v>
      </x:c>
      <x:c r="I395" s="14" t="n">
        <x:v>0</x:v>
      </x:c>
      <x:c r="J395" s="12" t="n">
        <x:v>177.73</x:v>
      </x:c>
      <x:c r="K395" s="12" t="n">
        <x:f>G395*H395*(1-I395)</x:f>
        <x:v>2099.09</x:v>
      </x:c>
      <x:c r="L395" s="12" t="n">
        <x:f>K395-(G395*J395)</x:f>
        <x:v>854.9800000000002</x:v>
      </x:c>
      <x:c r="M395" s="16" t="n">
        <x:f>IFERROR(L395/K395,0)</x:f>
        <x:v>0.4073098342615134</x:v>
      </x:c>
    </x:row>
    <x:row r="396">
      <x:c r="A396" t="str">
        <x:v>ORD-00395</x:v>
      </x:c>
      <x:c r="B396" s="10" t="n">
        <x:v>46089</x:v>
      </x:c>
      <x:c r="C396" t="str">
        <x:v>Southeast</x:v>
      </x:c>
      <x:c r="D396" t="str">
        <x:v>Technology</x:v>
      </x:c>
      <x:c r="E396" t="str">
        <x:v>Laptop Pro</x:v>
      </x:c>
      <x:c r="F396" t="str">
        <x:v>Elisa</x:v>
      </x:c>
      <x:c r="G396" t="n">
        <x:v>7</x:v>
      </x:c>
      <x:c r="H396" s="12" t="n">
        <x:v>1211.62</x:v>
      </x:c>
      <x:c r="I396" s="14" t="n">
        <x:v>0.05</x:v>
      </x:c>
      <x:c r="J396" s="12" t="n">
        <x:v>869.41</x:v>
      </x:c>
      <x:c r="K396" s="12" t="n">
        <x:f>G396*H396*(1-I396)</x:f>
        <x:v>8057.273</x:v>
      </x:c>
      <x:c r="L396" s="12" t="n">
        <x:f>K396-(G396*J396)</x:f>
        <x:v>1971.4030000000002</x:v>
      </x:c>
      <x:c r="M396" s="16" t="n">
        <x:f>IFERROR(L396/K396,0)</x:f>
        <x:v>0.24467372521695618</x:v>
      </x:c>
    </x:row>
    <x:row r="397">
      <x:c r="A397" t="str">
        <x:v>ORD-00396</x:v>
      </x:c>
      <x:c r="B397" s="10" t="n">
        <x:v>46140</x:v>
      </x:c>
      <x:c r="C397" t="str">
        <x:v>North</x:v>
      </x:c>
      <x:c r="D397" t="str">
        <x:v>Technology</x:v>
      </x:c>
      <x:c r="E397" t="str">
        <x:v>Monitor 27</x:v>
      </x:c>
      <x:c r="F397" t="str">
        <x:v>Elisa</x:v>
      </x:c>
      <x:c r="G397" t="n">
        <x:v>7</x:v>
      </x:c>
      <x:c r="H397" s="12" t="n">
        <x:v>282.31</x:v>
      </x:c>
      <x:c r="I397" s="14" t="n">
        <x:v>0</x:v>
      </x:c>
      <x:c r="J397" s="12" t="n">
        <x:v>181.5</x:v>
      </x:c>
      <x:c r="K397" s="12" t="n">
        <x:f>G397*H397*(1-I397)</x:f>
        <x:v>1976.17</x:v>
      </x:c>
      <x:c r="L397" s="12" t="n">
        <x:f>K397-(G397*J397)</x:f>
        <x:v>705.6700000000001</x:v>
      </x:c>
      <x:c r="M397" s="16" t="n">
        <x:f>IFERROR(L397/K397,0)</x:f>
        <x:v>0.35708972406220113</x:v>
      </x:c>
    </x:row>
    <x:row r="398">
      <x:c r="A398" t="str">
        <x:v>ORD-00397</x:v>
      </x:c>
      <x:c r="B398" s="10" t="n">
        <x:v>46217</x:v>
      </x:c>
      <x:c r="C398" t="str">
        <x:v>North</x:v>
      </x:c>
      <x:c r="D398" t="str">
        <x:v>Technology</x:v>
      </x:c>
      <x:c r="E398" t="str">
        <x:v>Laptop Pro</x:v>
      </x:c>
      <x:c r="F398" t="str">
        <x:v>Diego</x:v>
      </x:c>
      <x:c r="G398" t="n">
        <x:v>2</x:v>
      </x:c>
      <x:c r="H398" s="12" t="n">
        <x:v>1245.69</x:v>
      </x:c>
      <x:c r="I398" s="14" t="n">
        <x:v>0.1</x:v>
      </x:c>
      <x:c r="J398" s="12" t="n">
        <x:v>870.41</x:v>
      </x:c>
      <x:c r="K398" s="12" t="n">
        <x:f>G398*H398*(1-I398)</x:f>
        <x:v>2242.242</x:v>
      </x:c>
      <x:c r="L398" s="12" t="n">
        <x:f>K398-(G398*J398)</x:f>
        <x:v>501.42200000000025</x:v>
      </x:c>
      <x:c r="M398" s="16" t="n">
        <x:f>IFERROR(L398/K398,0)</x:f>
        <x:v>0.22362528219523148</x:v>
      </x:c>
    </x:row>
    <x:row r="399">
      <x:c r="A399" t="str">
        <x:v>ORD-00398</x:v>
      </x:c>
      <x:c r="B399" s="10" t="n">
        <x:v>46090</x:v>
      </x:c>
      <x:c r="C399" t="str">
        <x:v>South</x:v>
      </x:c>
      <x:c r="D399" t="str">
        <x:v>Home</x:v>
      </x:c>
      <x:c r="E399" t="str">
        <x:v>Smart Lamp</x:v>
      </x:c>
      <x:c r="F399" t="str">
        <x:v>Elisa</x:v>
      </x:c>
      <x:c r="G399" t="n">
        <x:v>8</x:v>
      </x:c>
      <x:c r="H399" s="12" t="n">
        <x:v>64.01</x:v>
      </x:c>
      <x:c r="I399" s="14" t="n">
        <x:v>0</x:v>
      </x:c>
      <x:c r="J399" s="12" t="n">
        <x:v>28.63</x:v>
      </x:c>
      <x:c r="K399" s="12" t="n">
        <x:f>G399*H399*(1-I399)</x:f>
        <x:v>512.08</x:v>
      </x:c>
      <x:c r="L399" s="12" t="n">
        <x:f>K399-(G399*J399)</x:f>
        <x:v>283.0400000000001</x:v>
      </x:c>
      <x:c r="M399" s="16" t="n">
        <x:f>IFERROR(L399/K399,0)</x:f>
        <x:v>0.5527261365411655</x:v>
      </x:c>
    </x:row>
    <x:row r="400">
      <x:c r="A400" t="str">
        <x:v>ORD-00399</x:v>
      </x:c>
      <x:c r="B400" s="10" t="n">
        <x:v>46197</x:v>
      </x:c>
      <x:c r="C400" t="str">
        <x:v>Northeast</x:v>
      </x:c>
      <x:c r="D400" t="str">
        <x:v>Technology</x:v>
      </x:c>
      <x:c r="E400" t="str">
        <x:v>Wireless Mouse</x:v>
      </x:c>
      <x:c r="F400" t="str">
        <x:v>Carla</x:v>
      </x:c>
      <x:c r="G400" t="n">
        <x:v>6</x:v>
      </x:c>
      <x:c r="H400" s="12" t="n">
        <x:v>33.76</x:v>
      </x:c>
      <x:c r="I400" s="14" t="n">
        <x:v>0.1</x:v>
      </x:c>
      <x:c r="J400" s="12" t="n">
        <x:v>16.06</x:v>
      </x:c>
      <x:c r="K400" s="12" t="n">
        <x:f>G400*H400*(1-I400)</x:f>
        <x:v>182.304</x:v>
      </x:c>
      <x:c r="L400" s="12" t="n">
        <x:f>K400-(G400*J400)</x:f>
        <x:v>85.94400000000002</x:v>
      </x:c>
      <x:c r="M400" s="16" t="n">
        <x:f>IFERROR(L400/K400,0)</x:f>
        <x:v>0.47143233280674046</x:v>
      </x:c>
    </x:row>
    <x:row r="401">
      <x:c r="A401" t="str">
        <x:v>ORD-00400</x:v>
      </x:c>
      <x:c r="B401" s="10" t="n">
        <x:v>46252</x:v>
      </x:c>
      <x:c r="C401" t="str">
        <x:v>South</x:v>
      </x:c>
      <x:c r="D401" t="str">
        <x:v>Accessories</x:v>
      </x:c>
      <x:c r="E401" t="str">
        <x:v>Backpack</x:v>
      </x:c>
      <x:c r="F401" t="str">
        <x:v>Ana</x:v>
      </x:c>
      <x:c r="G401" t="n">
        <x:v>5</x:v>
      </x:c>
      <x:c r="H401" s="12" t="n">
        <x:v>85.36</x:v>
      </x:c>
      <x:c r="I401" s="14" t="n">
        <x:v>0</x:v>
      </x:c>
      <x:c r="J401" s="12" t="n">
        <x:v>42.62</x:v>
      </x:c>
      <x:c r="K401" s="12" t="n">
        <x:f>G401*H401*(1-I401)</x:f>
        <x:v>426.8</x:v>
      </x:c>
      <x:c r="L401" s="12" t="n">
        <x:f>K401-(G401*J401)</x:f>
        <x:v>213.70000000000002</x:v>
      </x:c>
      <x:c r="M401" s="16" t="n">
        <x:f>IFERROR(L401/K401,0)</x:f>
        <x:v>0.5007029053420806</x:v>
      </x:c>
    </x:row>
    <x:row r="402">
      <x:c r="A402" t="str">
        <x:v>ORD-00401</x:v>
      </x:c>
      <x:c r="B402" s="10" t="n">
        <x:v>46245</x:v>
      </x:c>
      <x:c r="C402" t="str">
        <x:v>Southeast</x:v>
      </x:c>
      <x:c r="D402" t="str">
        <x:v>Accessories</x:v>
      </x:c>
      <x:c r="E402" t="str">
        <x:v>Webcam HD</x:v>
      </x:c>
      <x:c r="F402" t="str">
        <x:v>Elisa</x:v>
      </x:c>
      <x:c r="G402" t="n">
        <x:v>8</x:v>
      </x:c>
      <x:c r="H402" s="12" t="n">
        <x:v>93.94</x:v>
      </x:c>
      <x:c r="I402" s="14" t="n">
        <x:v>0.1</x:v>
      </x:c>
      <x:c r="J402" s="12" t="n">
        <x:v>48.79</x:v>
      </x:c>
      <x:c r="K402" s="12" t="n">
        <x:f>G402*H402*(1-I402)</x:f>
        <x:v>676.368</x:v>
      </x:c>
      <x:c r="L402" s="12" t="n">
        <x:f>K402-(G402*J402)</x:f>
        <x:v>286.04800000000006</x:v>
      </x:c>
      <x:c r="M402" s="16" t="n">
        <x:f>IFERROR(L402/K402,0)</x:f>
        <x:v>0.42291770160622627</x:v>
      </x:c>
    </x:row>
    <x:row r="403">
      <x:c r="A403" t="str">
        <x:v>ORD-00402</x:v>
      </x:c>
      <x:c r="B403" s="10" t="n">
        <x:v>46188</x:v>
      </x:c>
      <x:c r="C403" t="str">
        <x:v>Southeast</x:v>
      </x:c>
      <x:c r="D403" t="str">
        <x:v>Home</x:v>
      </x:c>
      <x:c r="E403" t="str">
        <x:v>Air Purifier</x:v>
      </x:c>
      <x:c r="F403" t="str">
        <x:v>Ana</x:v>
      </x:c>
      <x:c r="G403" t="n">
        <x:v>7</x:v>
      </x:c>
      <x:c r="H403" s="12" t="n">
        <x:v>185.1</x:v>
      </x:c>
      <x:c r="I403" s="14" t="n">
        <x:v>0.1</x:v>
      </x:c>
      <x:c r="J403" s="12" t="n">
        <x:v>112.57</x:v>
      </x:c>
      <x:c r="K403" s="12" t="n">
        <x:f>G403*H403*(1-I403)</x:f>
        <x:v>1166.13</x:v>
      </x:c>
      <x:c r="L403" s="12" t="n">
        <x:f>K403-(G403*J403)</x:f>
        <x:v>378.1400000000001</x:v>
      </x:c>
      <x:c r="M403" s="16" t="n">
        <x:f>IFERROR(L403/K403,0)</x:f>
        <x:v>0.32426916381535514</x:v>
      </x:c>
    </x:row>
    <x:row r="404">
      <x:c r="A404" t="str">
        <x:v>ORD-00403</x:v>
      </x:c>
      <x:c r="B404" s="10" t="n">
        <x:v>46154</x:v>
      </x:c>
      <x:c r="C404" t="str">
        <x:v>Midwest</x:v>
      </x:c>
      <x:c r="D404" t="str">
        <x:v>Technology</x:v>
      </x:c>
      <x:c r="E404" t="str">
        <x:v>Wireless Mouse</x:v>
      </x:c>
      <x:c r="F404" t="str">
        <x:v>Ana</x:v>
      </x:c>
      <x:c r="G404" t="n">
        <x:v>7</x:v>
      </x:c>
      <x:c r="H404" s="12" t="n">
        <x:v>36.28</x:v>
      </x:c>
      <x:c r="I404" s="14" t="n">
        <x:v>0</x:v>
      </x:c>
      <x:c r="J404" s="12" t="n">
        <x:v>16.38</x:v>
      </x:c>
      <x:c r="K404" s="12" t="n">
        <x:f>G404*H404*(1-I404)</x:f>
        <x:v>253.96</x:v>
      </x:c>
      <x:c r="L404" s="12" t="n">
        <x:f>K404-(G404*J404)</x:f>
        <x:v>139.3</x:v>
      </x:c>
      <x:c r="M404" s="16" t="n">
        <x:f>IFERROR(L404/K404,0)</x:f>
        <x:v>0.5485115766262404</x:v>
      </x:c>
    </x:row>
    <x:row r="405">
      <x:c r="A405" t="str">
        <x:v>ORD-00404</x:v>
      </x:c>
      <x:c r="B405" s="10" t="n">
        <x:v>46067</x:v>
      </x:c>
      <x:c r="C405" t="str">
        <x:v>Southeast</x:v>
      </x:c>
      <x:c r="D405" t="str">
        <x:v>Office</x:v>
      </x:c>
      <x:c r="E405" t="str">
        <x:v>Office Chair</x:v>
      </x:c>
      <x:c r="F405" t="str">
        <x:v>Bruno</x:v>
      </x:c>
      <x:c r="G405" t="n">
        <x:v>4</x:v>
      </x:c>
      <x:c r="H405" s="12" t="n">
        <x:v>212.2</x:v>
      </x:c>
      <x:c r="I405" s="14" t="n">
        <x:v>0</x:v>
      </x:c>
      <x:c r="J405" s="12" t="n">
        <x:v>129.74</x:v>
      </x:c>
      <x:c r="K405" s="12" t="n">
        <x:f>G405*H405*(1-I405)</x:f>
        <x:v>848.8</x:v>
      </x:c>
      <x:c r="L405" s="12" t="n">
        <x:f>K405-(G405*J405)</x:f>
        <x:v>329.8399999999999</x:v>
      </x:c>
      <x:c r="M405" s="16" t="n">
        <x:f>IFERROR(L405/K405,0)</x:f>
        <x:v>0.38859566446748345</x:v>
      </x:c>
    </x:row>
    <x:row r="406">
      <x:c r="A406" t="str">
        <x:v>ORD-00405</x:v>
      </x:c>
      <x:c r="B406" s="10" t="n">
        <x:v>46093</x:v>
      </x:c>
      <x:c r="C406" t="str">
        <x:v>South</x:v>
      </x:c>
      <x:c r="D406" t="str">
        <x:v>Home</x:v>
      </x:c>
      <x:c r="E406" t="str">
        <x:v>Smart Lamp</x:v>
      </x:c>
      <x:c r="F406" t="str">
        <x:v>Carla</x:v>
      </x:c>
      <x:c r="G406" t="n">
        <x:v>7</x:v>
      </x:c>
      <x:c r="H406" s="12" t="n">
        <x:v>63.12</x:v>
      </x:c>
      <x:c r="I406" s="14" t="n">
        <x:v>0.1</x:v>
      </x:c>
      <x:c r="J406" s="12" t="n">
        <x:v>28.46</x:v>
      </x:c>
      <x:c r="K406" s="12" t="n">
        <x:f>G406*H406*(1-I406)</x:f>
        <x:v>397.656</x:v>
      </x:c>
      <x:c r="L406" s="12" t="n">
        <x:f>K406-(G406*J406)</x:f>
        <x:v>198.436</x:v>
      </x:c>
      <x:c r="M406" s="16" t="n">
        <x:f>IFERROR(L406/K406,0)</x:f>
        <x:v>0.4990142233488241</x:v>
      </x:c>
    </x:row>
    <x:row r="407">
      <x:c r="A407" t="str">
        <x:v>ORD-00406</x:v>
      </x:c>
      <x:c r="B407" s="10" t="n">
        <x:v>46148</x:v>
      </x:c>
      <x:c r="C407" t="str">
        <x:v>Northeast</x:v>
      </x:c>
      <x:c r="D407" t="str">
        <x:v>Office</x:v>
      </x:c>
      <x:c r="E407" t="str">
        <x:v>Standing Desk</x:v>
      </x:c>
      <x:c r="F407" t="str">
        <x:v>Felipe</x:v>
      </x:c>
      <x:c r="G407" t="n">
        <x:v>6</x:v>
      </x:c>
      <x:c r="H407" s="12" t="n">
        <x:v>434.86</x:v>
      </x:c>
      <x:c r="I407" s="14" t="n">
        <x:v>0</x:v>
      </x:c>
      <x:c r="J407" s="12" t="n">
        <x:v>268.09</x:v>
      </x:c>
      <x:c r="K407" s="12" t="n">
        <x:f>G407*H407*(1-I407)</x:f>
        <x:v>2609.16</x:v>
      </x:c>
      <x:c r="L407" s="12" t="n">
        <x:f>K407-(G407*J407)</x:f>
        <x:v>1000.6199999999999</x:v>
      </x:c>
      <x:c r="M407" s="16" t="n">
        <x:f>IFERROR(L407/K407,0)</x:f>
        <x:v>0.3835027365129007</x:v>
      </x:c>
    </x:row>
    <x:row r="408">
      <x:c r="A408" t="str">
        <x:v>ORD-00407</x:v>
      </x:c>
      <x:c r="B408" s="10" t="n">
        <x:v>46046</x:v>
      </x:c>
      <x:c r="C408" t="str">
        <x:v>Southeast</x:v>
      </x:c>
      <x:c r="D408" t="str">
        <x:v>Home</x:v>
      </x:c>
      <x:c r="E408" t="str">
        <x:v>Air Purifier</x:v>
      </x:c>
      <x:c r="F408" t="str">
        <x:v>Bruno</x:v>
      </x:c>
      <x:c r="G408" t="n">
        <x:v>3</x:v>
      </x:c>
      <x:c r="H408" s="12" t="n">
        <x:v>185.43</x:v>
      </x:c>
      <x:c r="I408" s="14" t="n">
        <x:v>0.15</x:v>
      </x:c>
      <x:c r="J408" s="12" t="n">
        <x:v>108.98</x:v>
      </x:c>
      <x:c r="K408" s="12" t="n">
        <x:f>G408*H408*(1-I408)</x:f>
        <x:v>472.84649999999993</x:v>
      </x:c>
      <x:c r="L408" s="12" t="n">
        <x:f>K408-(G408*J408)</x:f>
        <x:v>145.90649999999994</x:v>
      </x:c>
      <x:c r="M408" s="16" t="n">
        <x:f>IFERROR(L408/K408,0)</x:f>
        <x:v>0.3085705403339138</x:v>
      </x:c>
    </x:row>
    <x:row r="409">
      <x:c r="A409" t="str">
        <x:v>ORD-00408</x:v>
      </x:c>
      <x:c r="B409" s="10" t="n">
        <x:v>46188</x:v>
      </x:c>
      <x:c r="C409" t="str">
        <x:v>Southeast</x:v>
      </x:c>
      <x:c r="D409" t="str">
        <x:v>Office</x:v>
      </x:c>
      <x:c r="E409" t="str">
        <x:v>Standing Desk</x:v>
      </x:c>
      <x:c r="F409" t="str">
        <x:v>Felipe</x:v>
      </x:c>
      <x:c r="G409" t="n">
        <x:v>7</x:v>
      </x:c>
      <x:c r="H409" s="12" t="n">
        <x:v>435.88</x:v>
      </x:c>
      <x:c r="I409" s="14" t="n">
        <x:v>0.05</x:v>
      </x:c>
      <x:c r="J409" s="12" t="n">
        <x:v>277.66</x:v>
      </x:c>
      <x:c r="K409" s="12" t="n">
        <x:f>G409*H409*(1-I409)</x:f>
        <x:v>2898.602</x:v>
      </x:c>
      <x:c r="L409" s="12" t="n">
        <x:f>K409-(G409*J409)</x:f>
        <x:v>954.9819999999997</x:v>
      </x:c>
      <x:c r="M409" s="16" t="n">
        <x:f>IFERROR(L409/K409,0)</x:f>
        <x:v>0.3294629618002057</x:v>
      </x:c>
    </x:row>
    <x:row r="410">
      <x:c r="A410" t="str">
        <x:v>ORD-00409</x:v>
      </x:c>
      <x:c r="B410" s="10" t="n">
        <x:v>46025</x:v>
      </x:c>
      <x:c r="C410" t="str">
        <x:v>South</x:v>
      </x:c>
      <x:c r="D410" t="str">
        <x:v>Office</x:v>
      </x:c>
      <x:c r="E410" t="str">
        <x:v>Desk Lamp</x:v>
      </x:c>
      <x:c r="F410" t="str">
        <x:v>Carla</x:v>
      </x:c>
      <x:c r="G410" t="n">
        <x:v>3</x:v>
      </x:c>
      <x:c r="H410" s="12" t="n">
        <x:v>52.84</x:v>
      </x:c>
      <x:c r="I410" s="14" t="n">
        <x:v>0.1</x:v>
      </x:c>
      <x:c r="J410" s="12" t="n">
        <x:v>23.82</x:v>
      </x:c>
      <x:c r="K410" s="12" t="n">
        <x:f>G410*H410*(1-I410)</x:f>
        <x:v>142.668</x:v>
      </x:c>
      <x:c r="L410" s="12" t="n">
        <x:f>K410-(G410*J410)</x:f>
        <x:v>71.208</x:v>
      </x:c>
      <x:c r="M410" s="16" t="n">
        <x:f>IFERROR(L410/K410,0)</x:f>
        <x:v>0.49911683068382534</x:v>
      </x:c>
    </x:row>
    <x:row r="411">
      <x:c r="A411" t="str">
        <x:v>ORD-00410</x:v>
      </x:c>
      <x:c r="B411" s="10" t="n">
        <x:v>46205</x:v>
      </x:c>
      <x:c r="C411" t="str">
        <x:v>North</x:v>
      </x:c>
      <x:c r="D411" t="str">
        <x:v>Accessories</x:v>
      </x:c>
      <x:c r="E411" t="str">
        <x:v>Backpack</x:v>
      </x:c>
      <x:c r="F411" t="str">
        <x:v>Carla</x:v>
      </x:c>
      <x:c r="G411" t="n">
        <x:v>7</x:v>
      </x:c>
      <x:c r="H411" s="12" t="n">
        <x:v>85.11</x:v>
      </x:c>
      <x:c r="I411" s="14" t="n">
        <x:v>0.15</x:v>
      </x:c>
      <x:c r="J411" s="12" t="n">
        <x:v>41.62</x:v>
      </x:c>
      <x:c r="K411" s="12" t="n">
        <x:f>G411*H411*(1-I411)</x:f>
        <x:v>506.4045</x:v>
      </x:c>
      <x:c r="L411" s="12" t="n">
        <x:f>K411-(G411*J411)</x:f>
        <x:v>215.0645</x:v>
      </x:c>
      <x:c r="M411" s="16" t="n">
        <x:f>IFERROR(L411/K411,0)</x:f>
        <x:v>0.4246891565931978</x:v>
      </x:c>
    </x:row>
    <x:row r="412">
      <x:c r="A412" t="str">
        <x:v>ORD-00411</x:v>
      </x:c>
      <x:c r="B412" s="10" t="n">
        <x:v>46196</x:v>
      </x:c>
      <x:c r="C412" t="str">
        <x:v>South</x:v>
      </x:c>
      <x:c r="D412" t="str">
        <x:v>Home</x:v>
      </x:c>
      <x:c r="E412" t="str">
        <x:v>Smart Lamp</x:v>
      </x:c>
      <x:c r="F412" t="str">
        <x:v>Carla</x:v>
      </x:c>
      <x:c r="G412" t="n">
        <x:v>2</x:v>
      </x:c>
      <x:c r="H412" s="12" t="n">
        <x:v>68.25</x:v>
      </x:c>
      <x:c r="I412" s="14" t="n">
        <x:v>0</x:v>
      </x:c>
      <x:c r="J412" s="12" t="n">
        <x:v>29.82</x:v>
      </x:c>
      <x:c r="K412" s="12" t="n">
        <x:f>G412*H412*(1-I412)</x:f>
        <x:v>136.5</x:v>
      </x:c>
      <x:c r="L412" s="12" t="n">
        <x:f>K412-(G412*J412)</x:f>
        <x:v>76.86</x:v>
      </x:c>
      <x:c r="M412" s="16" t="n">
        <x:f>IFERROR(L412/K412,0)</x:f>
        <x:v>0.563076923076923</x:v>
      </x:c>
    </x:row>
    <x:row r="413">
      <x:c r="A413" t="str">
        <x:v>ORD-00412</x:v>
      </x:c>
      <x:c r="B413" s="10" t="n">
        <x:v>46166</x:v>
      </x:c>
      <x:c r="C413" t="str">
        <x:v>Northeast</x:v>
      </x:c>
      <x:c r="D413" t="str">
        <x:v>Accessories</x:v>
      </x:c>
      <x:c r="E413" t="str">
        <x:v>Backpack</x:v>
      </x:c>
      <x:c r="F413" t="str">
        <x:v>Carla</x:v>
      </x:c>
      <x:c r="G413" t="n">
        <x:v>2</x:v>
      </x:c>
      <x:c r="H413" s="12" t="n">
        <x:v>84.17</x:v>
      </x:c>
      <x:c r="I413" s="14" t="n">
        <x:v>0.05</x:v>
      </x:c>
      <x:c r="J413" s="12" t="n">
        <x:v>41.74</x:v>
      </x:c>
      <x:c r="K413" s="12" t="n">
        <x:f>G413*H413*(1-I413)</x:f>
        <x:v>159.923</x:v>
      </x:c>
      <x:c r="L413" s="12" t="n">
        <x:f>K413-(G413*J413)</x:f>
        <x:v>76.443</x:v>
      </x:c>
      <x:c r="M413" s="16" t="n">
        <x:f>IFERROR(L413/K413,0)</x:f>
        <x:v>0.4779987869162034</x:v>
      </x:c>
    </x:row>
    <x:row r="414">
      <x:c r="A414" t="str">
        <x:v>ORD-00413</x:v>
      </x:c>
      <x:c r="B414" s="10" t="n">
        <x:v>46243</x:v>
      </x:c>
      <x:c r="C414" t="str">
        <x:v>Southeast</x:v>
      </x:c>
      <x:c r="D414" t="str">
        <x:v>Accessories</x:v>
      </x:c>
      <x:c r="E414" t="str">
        <x:v>USB-C Hub</x:v>
      </x:c>
      <x:c r="F414" t="str">
        <x:v>Elisa</x:v>
      </x:c>
      <x:c r="G414" t="n">
        <x:v>3</x:v>
      </x:c>
      <x:c r="H414" s="12" t="n">
        <x:v>68.71</x:v>
      </x:c>
      <x:c r="I414" s="14" t="n">
        <x:v>0.05</x:v>
      </x:c>
      <x:c r="J414" s="12" t="n">
        <x:v>31.45</x:v>
      </x:c>
      <x:c r="K414" s="12" t="n">
        <x:f>G414*H414*(1-I414)</x:f>
        <x:v>195.8235</x:v>
      </x:c>
      <x:c r="L414" s="12" t="n">
        <x:f>K414-(G414*J414)</x:f>
        <x:v>101.4735</x:v>
      </x:c>
      <x:c r="M414" s="16" t="n">
        <x:f>IFERROR(L414/K414,0)</x:f>
        <x:v>0.5181885728730209</x:v>
      </x:c>
    </x:row>
    <x:row r="415">
      <x:c r="A415" t="str">
        <x:v>ORD-00414</x:v>
      </x:c>
      <x:c r="B415" s="10" t="n">
        <x:v>46126</x:v>
      </x:c>
      <x:c r="C415" t="str">
        <x:v>Northeast</x:v>
      </x:c>
      <x:c r="D415" t="str">
        <x:v>Office</x:v>
      </x:c>
      <x:c r="E415" t="str">
        <x:v>Desk Lamp</x:v>
      </x:c>
      <x:c r="F415" t="str">
        <x:v>Diego</x:v>
      </x:c>
      <x:c r="G415" t="n">
        <x:v>1</x:v>
      </x:c>
      <x:c r="H415" s="12" t="n">
        <x:v>57.74</x:v>
      </x:c>
      <x:c r="I415" s="14" t="n">
        <x:v>0.1</x:v>
      </x:c>
      <x:c r="J415" s="12" t="n">
        <x:v>23.83</x:v>
      </x:c>
      <x:c r="K415" s="12" t="n">
        <x:f>G415*H415*(1-I415)</x:f>
        <x:v>51.966</x:v>
      </x:c>
      <x:c r="L415" s="12" t="n">
        <x:f>K415-(G415*J415)</x:f>
        <x:v>28.136000000000003</x:v>
      </x:c>
      <x:c r="M415" s="16" t="n">
        <x:f>IFERROR(L415/K415,0)</x:f>
        <x:v>0.5414309356117462</x:v>
      </x:c>
    </x:row>
    <x:row r="416">
      <x:c r="A416" t="str">
        <x:v>ORD-00415</x:v>
      </x:c>
      <x:c r="B416" s="10" t="n">
        <x:v>46126</x:v>
      </x:c>
      <x:c r="C416" t="str">
        <x:v>South</x:v>
      </x:c>
      <x:c r="D416" t="str">
        <x:v>Technology</x:v>
      </x:c>
      <x:c r="E416" t="str">
        <x:v>Monitor 27</x:v>
      </x:c>
      <x:c r="F416" t="str">
        <x:v>Felipe</x:v>
      </x:c>
      <x:c r="G416" t="n">
        <x:v>4</x:v>
      </x:c>
      <x:c r="H416" s="12" t="n">
        <x:v>297.02</x:v>
      </x:c>
      <x:c r="I416" s="14" t="n">
        <x:v>0</x:v>
      </x:c>
      <x:c r="J416" s="12" t="n">
        <x:v>182.58</x:v>
      </x:c>
      <x:c r="K416" s="12" t="n">
        <x:f>G416*H416*(1-I416)</x:f>
        <x:v>1188.08</x:v>
      </x:c>
      <x:c r="L416" s="12" t="n">
        <x:f>K416-(G416*J416)</x:f>
        <x:v>457.7599999999999</x:v>
      </x:c>
      <x:c r="M416" s="16" t="n">
        <x:f>IFERROR(L416/K416,0)</x:f>
        <x:v>0.38529391960137355</x:v>
      </x:c>
    </x:row>
    <x:row r="417">
      <x:c r="A417" t="str">
        <x:v>ORD-00416</x:v>
      </x:c>
      <x:c r="B417" s="10" t="n">
        <x:v>46223</x:v>
      </x:c>
      <x:c r="C417" t="str">
        <x:v>South</x:v>
      </x:c>
      <x:c r="D417" t="str">
        <x:v>Accessories</x:v>
      </x:c>
      <x:c r="E417" t="str">
        <x:v>Webcam HD</x:v>
      </x:c>
      <x:c r="F417" t="str">
        <x:v>Bruno</x:v>
      </x:c>
      <x:c r="G417" t="n">
        <x:v>5</x:v>
      </x:c>
      <x:c r="H417" s="12" t="n">
        <x:v>98.39</x:v>
      </x:c>
      <x:c r="I417" s="14" t="n">
        <x:v>0.15</x:v>
      </x:c>
      <x:c r="J417" s="12" t="n">
        <x:v>49.14</x:v>
      </x:c>
      <x:c r="K417" s="12" t="n">
        <x:f>G417*H417*(1-I417)</x:f>
        <x:v>418.15749999999997</x:v>
      </x:c>
      <x:c r="L417" s="12" t="n">
        <x:f>K417-(G417*J417)</x:f>
        <x:v>172.45749999999998</x:v>
      </x:c>
      <x:c r="M417" s="16" t="n">
        <x:f>IFERROR(L417/K417,0)</x:f>
        <x:v>0.4124223528216043</x:v>
      </x:c>
    </x:row>
    <x:row r="418">
      <x:c r="A418" t="str">
        <x:v>ORD-00417</x:v>
      </x:c>
      <x:c r="B418" s="10" t="n">
        <x:v>46098</x:v>
      </x:c>
      <x:c r="C418" t="str">
        <x:v>Southeast</x:v>
      </x:c>
      <x:c r="D418" t="str">
        <x:v>Office</x:v>
      </x:c>
      <x:c r="E418" t="str">
        <x:v>Desk Lamp</x:v>
      </x:c>
      <x:c r="F418" t="str">
        <x:v>Felipe</x:v>
      </x:c>
      <x:c r="G418" t="n">
        <x:v>5</x:v>
      </x:c>
      <x:c r="H418" s="12" t="n">
        <x:v>55.57</x:v>
      </x:c>
      <x:c r="I418" s="14" t="n">
        <x:v>0.1</x:v>
      </x:c>
      <x:c r="J418" s="12" t="n">
        <x:v>24.62</x:v>
      </x:c>
      <x:c r="K418" s="12" t="n">
        <x:f>G418*H418*(1-I418)</x:f>
        <x:v>250.06500000000003</x:v>
      </x:c>
      <x:c r="L418" s="12" t="n">
        <x:f>K418-(G418*J418)</x:f>
        <x:v>126.96500000000002</x:v>
      </x:c>
      <x:c r="M418" s="16" t="n">
        <x:f>IFERROR(L418/K418,0)</x:f>
        <x:v>0.5077279907224121</x:v>
      </x:c>
    </x:row>
    <x:row r="419">
      <x:c r="A419" t="str">
        <x:v>ORD-00418</x:v>
      </x:c>
      <x:c r="B419" s="10" t="n">
        <x:v>46253</x:v>
      </x:c>
      <x:c r="C419" t="str">
        <x:v>Southeast</x:v>
      </x:c>
      <x:c r="D419" t="str">
        <x:v>Technology</x:v>
      </x:c>
      <x:c r="E419" t="str">
        <x:v>Laptop Pro</x:v>
      </x:c>
      <x:c r="F419" t="str">
        <x:v>Carla</x:v>
      </x:c>
      <x:c r="G419" t="n">
        <x:v>6</x:v>
      </x:c>
      <x:c r="H419" s="12" t="n">
        <x:v>1246.11</x:v>
      </x:c>
      <x:c r="I419" s="14" t="n">
        <x:v>0</x:v>
      </x:c>
      <x:c r="J419" s="12" t="n">
        <x:v>850.87</x:v>
      </x:c>
      <x:c r="K419" s="12" t="n">
        <x:f>G419*H419*(1-I419)</x:f>
        <x:v>7476.66</x:v>
      </x:c>
      <x:c r="L419" s="12" t="n">
        <x:f>K419-(G419*J419)</x:f>
        <x:v>2371.4399999999996</x:v>
      </x:c>
      <x:c r="M419" s="16" t="n">
        <x:f>IFERROR(L419/K419,0)</x:f>
        <x:v>0.3171790612385744</x:v>
      </x:c>
    </x:row>
    <x:row r="420">
      <x:c r="A420" t="str">
        <x:v>ORD-00419</x:v>
      </x:c>
      <x:c r="B420" s="10" t="n">
        <x:v>46118</x:v>
      </x:c>
      <x:c r="C420" t="str">
        <x:v>Southeast</x:v>
      </x:c>
      <x:c r="D420" t="str">
        <x:v>Accessories</x:v>
      </x:c>
      <x:c r="E420" t="str">
        <x:v>Backpack</x:v>
      </x:c>
      <x:c r="F420" t="str">
        <x:v>Elisa</x:v>
      </x:c>
      <x:c r="G420" t="n">
        <x:v>2</x:v>
      </x:c>
      <x:c r="H420" s="12" t="n">
        <x:v>88.23</x:v>
      </x:c>
      <x:c r="I420" s="14" t="n">
        <x:v>0.05</x:v>
      </x:c>
      <x:c r="J420" s="12" t="n">
        <x:v>42.39</x:v>
      </x:c>
      <x:c r="K420" s="12" t="n">
        <x:f>G420*H420*(1-I420)</x:f>
        <x:v>167.637</x:v>
      </x:c>
      <x:c r="L420" s="12" t="n">
        <x:f>K420-(G420*J420)</x:f>
        <x:v>82.857</x:v>
      </x:c>
      <x:c r="M420" s="16" t="n">
        <x:f>IFERROR(L420/K420,0)</x:f>
        <x:v>0.4942643927056676</x:v>
      </x:c>
    </x:row>
    <x:row r="421">
      <x:c r="A421" t="str">
        <x:v>ORD-00420</x:v>
      </x:c>
      <x:c r="B421" s="10" t="n">
        <x:v>46041</x:v>
      </x:c>
      <x:c r="C421" t="str">
        <x:v>South</x:v>
      </x:c>
      <x:c r="D421" t="str">
        <x:v>Office</x:v>
      </x:c>
      <x:c r="E421" t="str">
        <x:v>Desk Lamp</x:v>
      </x:c>
      <x:c r="F421" t="str">
        <x:v>Ana</x:v>
      </x:c>
      <x:c r="G421" t="n">
        <x:v>2</x:v>
      </x:c>
      <x:c r="H421" s="12" t="n">
        <x:v>54.69</x:v>
      </x:c>
      <x:c r="I421" s="14" t="n">
        <x:v>0.15</x:v>
      </x:c>
      <x:c r="J421" s="12" t="n">
        <x:v>23.88</x:v>
      </x:c>
      <x:c r="K421" s="12" t="n">
        <x:f>G421*H421*(1-I421)</x:f>
        <x:v>92.973</x:v>
      </x:c>
      <x:c r="L421" s="12" t="n">
        <x:f>K421-(G421*J421)</x:f>
        <x:v>45.213</x:v>
      </x:c>
      <x:c r="M421" s="16" t="n">
        <x:f>IFERROR(L421/K421,0)</x:f>
        <x:v>0.48630247491207124</x:v>
      </x:c>
    </x:row>
    <x:row r="422">
      <x:c r="A422" t="str">
        <x:v>ORD-00421</x:v>
      </x:c>
      <x:c r="B422" s="10" t="n">
        <x:v>46245</x:v>
      </x:c>
      <x:c r="C422" t="str">
        <x:v>Midwest</x:v>
      </x:c>
      <x:c r="D422" t="str">
        <x:v>Office</x:v>
      </x:c>
      <x:c r="E422" t="str">
        <x:v>Office Chair</x:v>
      </x:c>
      <x:c r="F422" t="str">
        <x:v>Diego</x:v>
      </x:c>
      <x:c r="G422" t="n">
        <x:v>6</x:v>
      </x:c>
      <x:c r="H422" s="12" t="n">
        <x:v>222.47</x:v>
      </x:c>
      <x:c r="I422" s="14" t="n">
        <x:v>0.05</x:v>
      </x:c>
      <x:c r="J422" s="12" t="n">
        <x:v>133.29</x:v>
      </x:c>
      <x:c r="K422" s="12" t="n">
        <x:f>G422*H422*(1-I422)</x:f>
        <x:v>1268.079</x:v>
      </x:c>
      <x:c r="L422" s="12" t="n">
        <x:f>K422-(G422*J422)</x:f>
        <x:v>468.33899999999994</x:v>
      </x:c>
      <x:c r="M422" s="16" t="n">
        <x:f>IFERROR(L422/K422,0)</x:f>
        <x:v>0.36932951338205267</x:v>
      </x:c>
    </x:row>
    <x:row r="423">
      <x:c r="A423" t="str">
        <x:v>ORD-00422</x:v>
      </x:c>
      <x:c r="B423" s="10" t="n">
        <x:v>46059</x:v>
      </x:c>
      <x:c r="C423" t="str">
        <x:v>Southeast</x:v>
      </x:c>
      <x:c r="D423" t="str">
        <x:v>Office</x:v>
      </x:c>
      <x:c r="E423" t="str">
        <x:v>Office Chair</x:v>
      </x:c>
      <x:c r="F423" t="str">
        <x:v>Ana</x:v>
      </x:c>
      <x:c r="G423" t="n">
        <x:v>8</x:v>
      </x:c>
      <x:c r="H423" s="12" t="n">
        <x:v>230.74</x:v>
      </x:c>
      <x:c r="I423" s="14" t="n">
        <x:v>0</x:v>
      </x:c>
      <x:c r="J423" s="12" t="n">
        <x:v>129.44</x:v>
      </x:c>
      <x:c r="K423" s="12" t="n">
        <x:f>G423*H423*(1-I423)</x:f>
        <x:v>1845.92</x:v>
      </x:c>
      <x:c r="L423" s="12" t="n">
        <x:f>K423-(G423*J423)</x:f>
        <x:v>810.4000000000001</x:v>
      </x:c>
      <x:c r="M423" s="16" t="n">
        <x:f>IFERROR(L423/K423,0)</x:f>
        <x:v>0.4390222761549797</x:v>
      </x:c>
    </x:row>
    <x:row r="424">
      <x:c r="A424" t="str">
        <x:v>ORD-00423</x:v>
      </x:c>
      <x:c r="B424" s="10" t="n">
        <x:v>46024</x:v>
      </x:c>
      <x:c r="C424" t="str">
        <x:v>South</x:v>
      </x:c>
      <x:c r="D424" t="str">
        <x:v>Office</x:v>
      </x:c>
      <x:c r="E424" t="str">
        <x:v>Office Chair</x:v>
      </x:c>
      <x:c r="F424" t="str">
        <x:v>Elisa</x:v>
      </x:c>
      <x:c r="G424" t="n">
        <x:v>3</x:v>
      </x:c>
      <x:c r="H424" s="12" t="n">
        <x:v>226.32</x:v>
      </x:c>
      <x:c r="I424" s="14" t="n">
        <x:v>0.05</x:v>
      </x:c>
      <x:c r="J424" s="12" t="n">
        <x:v>127.97</x:v>
      </x:c>
      <x:c r="K424" s="12" t="n">
        <x:f>G424*H424*(1-I424)</x:f>
        <x:v>645.0120000000001</x:v>
      </x:c>
      <x:c r="L424" s="12" t="n">
        <x:f>K424-(G424*J424)</x:f>
        <x:v>261.1020000000001</x:v>
      </x:c>
      <x:c r="M424" s="16" t="n">
        <x:f>IFERROR(L424/K424,0)</x:f>
        <x:v>0.40480177112983956</x:v>
      </x:c>
    </x:row>
    <x:row r="425">
      <x:c r="A425" t="str">
        <x:v>ORD-00424</x:v>
      </x:c>
      <x:c r="B425" s="10" t="n">
        <x:v>46134</x:v>
      </x:c>
      <x:c r="C425" t="str">
        <x:v>Northeast</x:v>
      </x:c>
      <x:c r="D425" t="str">
        <x:v>Home</x:v>
      </x:c>
      <x:c r="E425" t="str">
        <x:v>Coffee Maker</x:v>
      </x:c>
      <x:c r="F425" t="str">
        <x:v>Carla</x:v>
      </x:c>
      <x:c r="G425" t="n">
        <x:v>8</x:v>
      </x:c>
      <x:c r="H425" s="12" t="n">
        <x:v>120.42</x:v>
      </x:c>
      <x:c r="I425" s="14" t="n">
        <x:v>0.05</x:v>
      </x:c>
      <x:c r="J425" s="12" t="n">
        <x:v>71.28</x:v>
      </x:c>
      <x:c r="K425" s="12" t="n">
        <x:f>G425*H425*(1-I425)</x:f>
        <x:v>915.192</x:v>
      </x:c>
      <x:c r="L425" s="12" t="n">
        <x:f>K425-(G425*J425)</x:f>
        <x:v>344.952</x:v>
      </x:c>
      <x:c r="M425" s="16" t="n">
        <x:f>IFERROR(L425/K425,0)</x:f>
        <x:v>0.3769176303988671</x:v>
      </x:c>
    </x:row>
    <x:row r="426">
      <x:c r="A426" t="str">
        <x:v>ORD-00425</x:v>
      </x:c>
      <x:c r="B426" s="10" t="n">
        <x:v>46026</x:v>
      </x:c>
      <x:c r="C426" t="str">
        <x:v>North</x:v>
      </x:c>
      <x:c r="D426" t="str">
        <x:v>Office</x:v>
      </x:c>
      <x:c r="E426" t="str">
        <x:v>Office Chair</x:v>
      </x:c>
      <x:c r="F426" t="str">
        <x:v>Carla</x:v>
      </x:c>
      <x:c r="G426" t="n">
        <x:v>1</x:v>
      </x:c>
      <x:c r="H426" s="12" t="n">
        <x:v>216.13</x:v>
      </x:c>
      <x:c r="I426" s="14" t="n">
        <x:v>0.1</x:v>
      </x:c>
      <x:c r="J426" s="12" t="n">
        <x:v>131.91</x:v>
      </x:c>
      <x:c r="K426" s="12" t="n">
        <x:f>G426*H426*(1-I426)</x:f>
        <x:v>194.517</x:v>
      </x:c>
      <x:c r="L426" s="12" t="n">
        <x:f>K426-(G426*J426)</x:f>
        <x:v>62.607</x:v>
      </x:c>
      <x:c r="M426" s="16" t="n">
        <x:f>IFERROR(L426/K426,0)</x:f>
        <x:v>0.3218587578463579</x:v>
      </x:c>
    </x:row>
    <x:row r="427">
      <x:c r="A427" t="str">
        <x:v>ORD-00426</x:v>
      </x:c>
      <x:c r="B427" s="10" t="n">
        <x:v>46102</x:v>
      </x:c>
      <x:c r="C427" t="str">
        <x:v>Southeast</x:v>
      </x:c>
      <x:c r="D427" t="str">
        <x:v>Home</x:v>
      </x:c>
      <x:c r="E427" t="str">
        <x:v>Smart Lamp</x:v>
      </x:c>
      <x:c r="F427" t="str">
        <x:v>Carla</x:v>
      </x:c>
      <x:c r="G427" t="n">
        <x:v>5</x:v>
      </x:c>
      <x:c r="H427" s="12" t="n">
        <x:v>67.22</x:v>
      </x:c>
      <x:c r="I427" s="14" t="n">
        <x:v>0</x:v>
      </x:c>
      <x:c r="J427" s="12" t="n">
        <x:v>28.85</x:v>
      </x:c>
      <x:c r="K427" s="12" t="n">
        <x:f>G427*H427*(1-I427)</x:f>
        <x:v>336.1</x:v>
      </x:c>
      <x:c r="L427" s="12" t="n">
        <x:f>K427-(G427*J427)</x:f>
        <x:v>191.85000000000002</x:v>
      </x:c>
      <x:c r="M427" s="16" t="n">
        <x:f>IFERROR(L427/K427,0)</x:f>
        <x:v>0.5708122582564713</x:v>
      </x:c>
    </x:row>
    <x:row r="428">
      <x:c r="A428" t="str">
        <x:v>ORD-00427</x:v>
      </x:c>
      <x:c r="B428" s="10" t="n">
        <x:v>46139</x:v>
      </x:c>
      <x:c r="C428" t="str">
        <x:v>Northeast</x:v>
      </x:c>
      <x:c r="D428" t="str">
        <x:v>Accessories</x:v>
      </x:c>
      <x:c r="E428" t="str">
        <x:v>Backpack</x:v>
      </x:c>
      <x:c r="F428" t="str">
        <x:v>Bruno</x:v>
      </x:c>
      <x:c r="G428" t="n">
        <x:v>3</x:v>
      </x:c>
      <x:c r="H428" s="12" t="n">
        <x:v>88.5</x:v>
      </x:c>
      <x:c r="I428" s="14" t="n">
        <x:v>0</x:v>
      </x:c>
      <x:c r="J428" s="12" t="n">
        <x:v>41.91</x:v>
      </x:c>
      <x:c r="K428" s="12" t="n">
        <x:f>G428*H428*(1-I428)</x:f>
        <x:v>265.5</x:v>
      </x:c>
      <x:c r="L428" s="12" t="n">
        <x:f>K428-(G428*J428)</x:f>
        <x:v>139.77</x:v>
      </x:c>
      <x:c r="M428" s="16" t="n">
        <x:f>IFERROR(L428/K428,0)</x:f>
        <x:v>0.5264406779661017</x:v>
      </x:c>
    </x:row>
    <x:row r="429">
      <x:c r="A429" t="str">
        <x:v>ORD-00428</x:v>
      </x:c>
      <x:c r="B429" s="10" t="n">
        <x:v>46065</x:v>
      </x:c>
      <x:c r="C429" t="str">
        <x:v>North</x:v>
      </x:c>
      <x:c r="D429" t="str">
        <x:v>Home</x:v>
      </x:c>
      <x:c r="E429" t="str">
        <x:v>Air Purifier</x:v>
      </x:c>
      <x:c r="F429" t="str">
        <x:v>Ana</x:v>
      </x:c>
      <x:c r="G429" t="n">
        <x:v>4</x:v>
      </x:c>
      <x:c r="H429" s="12" t="n">
        <x:v>188.76</x:v>
      </x:c>
      <x:c r="I429" s="14" t="n">
        <x:v>0</x:v>
      </x:c>
      <x:c r="J429" s="12" t="n">
        <x:v>108.96</x:v>
      </x:c>
      <x:c r="K429" s="12" t="n">
        <x:f>G429*H429*(1-I429)</x:f>
        <x:v>755.04</x:v>
      </x:c>
      <x:c r="L429" s="12" t="n">
        <x:f>K429-(G429*J429)</x:f>
        <x:v>319.2</x:v>
      </x:c>
      <x:c r="M429" s="16" t="n">
        <x:f>IFERROR(L429/K429,0)</x:f>
        <x:v>0.4227590591226955</x:v>
      </x:c>
    </x:row>
    <x:row r="430">
      <x:c r="A430" t="str">
        <x:v>ORD-00429</x:v>
      </x:c>
      <x:c r="B430" s="10" t="n">
        <x:v>46173</x:v>
      </x:c>
      <x:c r="C430" t="str">
        <x:v>South</x:v>
      </x:c>
      <x:c r="D430" t="str">
        <x:v>Technology</x:v>
      </x:c>
      <x:c r="E430" t="str">
        <x:v>Wireless Mouse</x:v>
      </x:c>
      <x:c r="F430" t="str">
        <x:v>Elisa</x:v>
      </x:c>
      <x:c r="G430" t="n">
        <x:v>1</x:v>
      </x:c>
      <x:c r="H430" s="12" t="n">
        <x:v>35.62</x:v>
      </x:c>
      <x:c r="I430" s="14" t="n">
        <x:v>0.05</x:v>
      </x:c>
      <x:c r="J430" s="12" t="n">
        <x:v>16.3</x:v>
      </x:c>
      <x:c r="K430" s="12" t="n">
        <x:f>G430*H430*(1-I430)</x:f>
        <x:v>33.839</x:v>
      </x:c>
      <x:c r="L430" s="12" t="n">
        <x:f>K430-(G430*J430)</x:f>
        <x:v>17.538999999999998</x:v>
      </x:c>
      <x:c r="M430" s="16" t="n">
        <x:f>IFERROR(L430/K430,0)</x:f>
        <x:v>0.5183072785838825</x:v>
      </x:c>
    </x:row>
    <x:row r="431">
      <x:c r="A431" t="str">
        <x:v>ORD-00430</x:v>
      </x:c>
      <x:c r="B431" s="10" t="n">
        <x:v>46035</x:v>
      </x:c>
      <x:c r="C431" t="str">
        <x:v>Northeast</x:v>
      </x:c>
      <x:c r="D431" t="str">
        <x:v>Technology</x:v>
      </x:c>
      <x:c r="E431" t="str">
        <x:v>Monitor 27</x:v>
      </x:c>
      <x:c r="F431" t="str">
        <x:v>Diego</x:v>
      </x:c>
      <x:c r="G431" t="n">
        <x:v>2</x:v>
      </x:c>
      <x:c r="H431" s="12" t="n">
        <x:v>278.92</x:v>
      </x:c>
      <x:c r="I431" s="14" t="n">
        <x:v>0.1</x:v>
      </x:c>
      <x:c r="J431" s="12" t="n">
        <x:v>182.61</x:v>
      </x:c>
      <x:c r="K431" s="12" t="n">
        <x:f>G431*H431*(1-I431)</x:f>
        <x:v>502.05600000000004</x:v>
      </x:c>
      <x:c r="L431" s="12" t="n">
        <x:f>K431-(G431*J431)</x:f>
        <x:v>136.836</x:v>
      </x:c>
      <x:c r="M431" s="16" t="n">
        <x:f>IFERROR(L431/K431,0)</x:f>
        <x:v>0.2725512691811272</x:v>
      </x:c>
    </x:row>
    <x:row r="432">
      <x:c r="A432" t="str">
        <x:v>ORD-00431</x:v>
      </x:c>
      <x:c r="B432" s="10" t="n">
        <x:v>46136</x:v>
      </x:c>
      <x:c r="C432" t="str">
        <x:v>South</x:v>
      </x:c>
      <x:c r="D432" t="str">
        <x:v>Accessories</x:v>
      </x:c>
      <x:c r="E432" t="str">
        <x:v>Backpack</x:v>
      </x:c>
      <x:c r="F432" t="str">
        <x:v>Diego</x:v>
      </x:c>
      <x:c r="G432" t="n">
        <x:v>3</x:v>
      </x:c>
      <x:c r="H432" s="12" t="n">
        <x:v>86.85</x:v>
      </x:c>
      <x:c r="I432" s="14" t="n">
        <x:v>0</x:v>
      </x:c>
      <x:c r="J432" s="12" t="n">
        <x:v>41.18</x:v>
      </x:c>
      <x:c r="K432" s="12" t="n">
        <x:f>G432*H432*(1-I432)</x:f>
        <x:v>260.54999999999995</x:v>
      </x:c>
      <x:c r="L432" s="12" t="n">
        <x:f>K432-(G432*J432)</x:f>
        <x:v>137.00999999999996</x:v>
      </x:c>
      <x:c r="M432" s="16" t="n">
        <x:f>IFERROR(L432/K432,0)</x:f>
        <x:v>0.5258491652274035</x:v>
      </x:c>
    </x:row>
    <x:row r="433">
      <x:c r="A433" t="str">
        <x:v>ORD-00432</x:v>
      </x:c>
      <x:c r="B433" s="10" t="n">
        <x:v>46192</x:v>
      </x:c>
      <x:c r="C433" t="str">
        <x:v>Southeast</x:v>
      </x:c>
      <x:c r="D433" t="str">
        <x:v>Accessories</x:v>
      </x:c>
      <x:c r="E433" t="str">
        <x:v>Webcam HD</x:v>
      </x:c>
      <x:c r="F433" t="str">
        <x:v>Elisa</x:v>
      </x:c>
      <x:c r="G433" t="n">
        <x:v>3</x:v>
      </x:c>
      <x:c r="H433" s="12" t="n">
        <x:v>98.88</x:v>
      </x:c>
      <x:c r="I433" s="14" t="n">
        <x:v>0.05</x:v>
      </x:c>
      <x:c r="J433" s="12" t="n">
        <x:v>48.27</x:v>
      </x:c>
      <x:c r="K433" s="12" t="n">
        <x:f>G433*H433*(1-I433)</x:f>
        <x:v>281.808</x:v>
      </x:c>
      <x:c r="L433" s="12" t="n">
        <x:f>K433-(G433*J433)</x:f>
        <x:v>136.998</x:v>
      </x:c>
      <x:c r="M433" s="16" t="n">
        <x:f>IFERROR(L433/K433,0)</x:f>
        <x:v>0.4861394992335207</x:v>
      </x:c>
    </x:row>
    <x:row r="434">
      <x:c r="A434" t="str">
        <x:v>ORD-00433</x:v>
      </x:c>
      <x:c r="B434" s="10" t="n">
        <x:v>46053</x:v>
      </x:c>
      <x:c r="C434" t="str">
        <x:v>Southeast</x:v>
      </x:c>
      <x:c r="D434" t="str">
        <x:v>Technology</x:v>
      </x:c>
      <x:c r="E434" t="str">
        <x:v>Wireless Mouse</x:v>
      </x:c>
      <x:c r="F434" t="str">
        <x:v>Bruno</x:v>
      </x:c>
      <x:c r="G434" t="n">
        <x:v>4</x:v>
      </x:c>
      <x:c r="H434" s="12" t="n">
        <x:v>36.05</x:v>
      </x:c>
      <x:c r="I434" s="14" t="n">
        <x:v>0.1</x:v>
      </x:c>
      <x:c r="J434" s="12" t="n">
        <x:v>16.35</x:v>
      </x:c>
      <x:c r="K434" s="12" t="n">
        <x:f>G434*H434*(1-I434)</x:f>
        <x:v>129.78</x:v>
      </x:c>
      <x:c r="L434" s="12" t="n">
        <x:f>K434-(G434*J434)</x:f>
        <x:v>64.38</x:v>
      </x:c>
      <x:c r="M434" s="16" t="n">
        <x:f>IFERROR(L434/K434,0)</x:f>
        <x:v>0.4960702727693019</x:v>
      </x:c>
    </x:row>
    <x:row r="435">
      <x:c r="A435" t="str">
        <x:v>ORD-00434</x:v>
      </x:c>
      <x:c r="B435" s="10" t="n">
        <x:v>46114</x:v>
      </x:c>
      <x:c r="C435" t="str">
        <x:v>Northeast</x:v>
      </x:c>
      <x:c r="D435" t="str">
        <x:v>Accessories</x:v>
      </x:c>
      <x:c r="E435" t="str">
        <x:v>USB-C Hub</x:v>
      </x:c>
      <x:c r="F435" t="str">
        <x:v>Diego</x:v>
      </x:c>
      <x:c r="G435" t="n">
        <x:v>1</x:v>
      </x:c>
      <x:c r="H435" s="12" t="n">
        <x:v>72.94</x:v>
      </x:c>
      <x:c r="I435" s="14" t="n">
        <x:v>0.05</x:v>
      </x:c>
      <x:c r="J435" s="12" t="n">
        <x:v>32.46</x:v>
      </x:c>
      <x:c r="K435" s="12" t="n">
        <x:f>G435*H435*(1-I435)</x:f>
        <x:v>69.29299999999999</x:v>
      </x:c>
      <x:c r="L435" s="12" t="n">
        <x:f>K435-(G435*J435)</x:f>
        <x:v>36.83299999999999</x:v>
      </x:c>
      <x:c r="M435" s="16" t="n">
        <x:f>IFERROR(L435/K435,0)</x:f>
        <x:v>0.5315544138657584</x:v>
      </x:c>
    </x:row>
    <x:row r="436">
      <x:c r="A436" t="str">
        <x:v>ORD-00435</x:v>
      </x:c>
      <x:c r="B436" s="10" t="n">
        <x:v>46107</x:v>
      </x:c>
      <x:c r="C436" t="str">
        <x:v>Southeast</x:v>
      </x:c>
      <x:c r="D436" t="str">
        <x:v>Technology</x:v>
      </x:c>
      <x:c r="E436" t="str">
        <x:v>Monitor 27</x:v>
      </x:c>
      <x:c r="F436" t="str">
        <x:v>Bruno</x:v>
      </x:c>
      <x:c r="G436" t="n">
        <x:v>2</x:v>
      </x:c>
      <x:c r="H436" s="12" t="n">
        <x:v>300.2</x:v>
      </x:c>
      <x:c r="I436" s="14" t="n">
        <x:v>0.15</x:v>
      </x:c>
      <x:c r="J436" s="12" t="n">
        <x:v>182.42</x:v>
      </x:c>
      <x:c r="K436" s="12" t="n">
        <x:f>G436*H436*(1-I436)</x:f>
        <x:v>510.34</x:v>
      </x:c>
      <x:c r="L436" s="12" t="n">
        <x:f>K436-(G436*J436)</x:f>
        <x:v>145.5</x:v>
      </x:c>
      <x:c r="M436" s="16" t="n">
        <x:f>IFERROR(L436/K436,0)</x:f>
        <x:v>0.2851040482815378</x:v>
      </x:c>
    </x:row>
    <x:row r="437">
      <x:c r="A437" t="str">
        <x:v>ORD-00436</x:v>
      </x:c>
      <x:c r="B437" s="10" t="n">
        <x:v>46046</x:v>
      </x:c>
      <x:c r="C437" t="str">
        <x:v>Midwest</x:v>
      </x:c>
      <x:c r="D437" t="str">
        <x:v>Technology</x:v>
      </x:c>
      <x:c r="E437" t="str">
        <x:v>Monitor 27</x:v>
      </x:c>
      <x:c r="F437" t="str">
        <x:v>Carla</x:v>
      </x:c>
      <x:c r="G437" t="n">
        <x:v>2</x:v>
      </x:c>
      <x:c r="H437" s="12" t="n">
        <x:v>295.22</x:v>
      </x:c>
      <x:c r="I437" s="14" t="n">
        <x:v>0.15</x:v>
      </x:c>
      <x:c r="J437" s="12" t="n">
        <x:v>180.51</x:v>
      </x:c>
      <x:c r="K437" s="12" t="n">
        <x:f>G437*H437*(1-I437)</x:f>
        <x:v>501.874</x:v>
      </x:c>
      <x:c r="L437" s="12" t="n">
        <x:f>K437-(G437*J437)</x:f>
        <x:v>140.85400000000004</x:v>
      </x:c>
      <x:c r="M437" s="16" t="n">
        <x:f>IFERROR(L437/K437,0)</x:f>
        <x:v>0.2806561009337006</x:v>
      </x:c>
    </x:row>
    <x:row r="438">
      <x:c r="A438" t="str">
        <x:v>ORD-00437</x:v>
      </x:c>
      <x:c r="B438" s="10" t="n">
        <x:v>46090</x:v>
      </x:c>
      <x:c r="C438" t="str">
        <x:v>South</x:v>
      </x:c>
      <x:c r="D438" t="str">
        <x:v>Technology</x:v>
      </x:c>
      <x:c r="E438" t="str">
        <x:v>Laptop Pro</x:v>
      </x:c>
      <x:c r="F438" t="str">
        <x:v>Diego</x:v>
      </x:c>
      <x:c r="G438" t="n">
        <x:v>1</x:v>
      </x:c>
      <x:c r="H438" s="12" t="n">
        <x:v>1190.9</x:v>
      </x:c>
      <x:c r="I438" s="14" t="n">
        <x:v>0.15</x:v>
      </x:c>
      <x:c r="J438" s="12" t="n">
        <x:v>861.76</x:v>
      </x:c>
      <x:c r="K438" s="12" t="n">
        <x:f>G438*H438*(1-I438)</x:f>
        <x:v>1012.2650000000001</x:v>
      </x:c>
      <x:c r="L438" s="12" t="n">
        <x:f>K438-(G438*J438)</x:f>
        <x:v>150.5050000000001</x:v>
      </x:c>
      <x:c r="M438" s="16" t="n">
        <x:f>IFERROR(L438/K438,0)</x:f>
        <x:v>0.14868142235481824</x:v>
      </x:c>
    </x:row>
    <x:row r="439">
      <x:c r="A439" t="str">
        <x:v>ORD-00438</x:v>
      </x:c>
      <x:c r="B439" s="10" t="n">
        <x:v>46212</x:v>
      </x:c>
      <x:c r="C439" t="str">
        <x:v>Southeast</x:v>
      </x:c>
      <x:c r="D439" t="str">
        <x:v>Technology</x:v>
      </x:c>
      <x:c r="E439" t="str">
        <x:v>Laptop Pro</x:v>
      </x:c>
      <x:c r="F439" t="str">
        <x:v>Diego</x:v>
      </x:c>
      <x:c r="G439" t="n">
        <x:v>3</x:v>
      </x:c>
      <x:c r="H439" s="12" t="n">
        <x:v>1170.42</x:v>
      </x:c>
      <x:c r="I439" s="14" t="n">
        <x:v>0.1</x:v>
      </x:c>
      <x:c r="J439" s="12" t="n">
        <x:v>848.19</x:v>
      </x:c>
      <x:c r="K439" s="12" t="n">
        <x:f>G439*H439*(1-I439)</x:f>
        <x:v>3160.1340000000005</x:v>
      </x:c>
      <x:c r="L439" s="12" t="n">
        <x:f>K439-(G439*J439)</x:f>
        <x:v>615.5640000000003</x:v>
      </x:c>
      <x:c r="M439" s="16" t="n">
        <x:f>IFERROR(L439/K439,0)</x:f>
        <x:v>0.1947904740748336</x:v>
      </x:c>
    </x:row>
    <x:row r="440">
      <x:c r="A440" t="str">
        <x:v>ORD-00439</x:v>
      </x:c>
      <x:c r="B440" s="10" t="n">
        <x:v>46182</x:v>
      </x:c>
      <x:c r="C440" t="str">
        <x:v>Southeast</x:v>
      </x:c>
      <x:c r="D440" t="str">
        <x:v>Technology</x:v>
      </x:c>
      <x:c r="E440" t="str">
        <x:v>Wireless Mouse</x:v>
      </x:c>
      <x:c r="F440" t="str">
        <x:v>Carla</x:v>
      </x:c>
      <x:c r="G440" t="n">
        <x:v>6</x:v>
      </x:c>
      <x:c r="H440" s="12" t="n">
        <x:v>34.86</x:v>
      </x:c>
      <x:c r="I440" s="14" t="n">
        <x:v>0</x:v>
      </x:c>
      <x:c r="J440" s="12" t="n">
        <x:v>16.45</x:v>
      </x:c>
      <x:c r="K440" s="12" t="n">
        <x:f>G440*H440*(1-I440)</x:f>
        <x:v>209.16</x:v>
      </x:c>
      <x:c r="L440" s="12" t="n">
        <x:f>K440-(G440*J440)</x:f>
        <x:v>110.46000000000001</x:v>
      </x:c>
      <x:c r="M440" s="16" t="n">
        <x:f>IFERROR(L440/K440,0)</x:f>
        <x:v>0.5281124497991968</x:v>
      </x:c>
    </x:row>
    <x:row r="441">
      <x:c r="A441" t="str">
        <x:v>ORD-00440</x:v>
      </x:c>
      <x:c r="B441" s="10" t="n">
        <x:v>46236</x:v>
      </x:c>
      <x:c r="C441" t="str">
        <x:v>South</x:v>
      </x:c>
      <x:c r="D441" t="str">
        <x:v>Home</x:v>
      </x:c>
      <x:c r="E441" t="str">
        <x:v>Coffee Maker</x:v>
      </x:c>
      <x:c r="F441" t="str">
        <x:v>Bruno</x:v>
      </x:c>
      <x:c r="G441" t="n">
        <x:v>3</x:v>
      </x:c>
      <x:c r="H441" s="12" t="n">
        <x:v>127.83</x:v>
      </x:c>
      <x:c r="I441" s="14" t="n">
        <x:v>0</x:v>
      </x:c>
      <x:c r="J441" s="12" t="n">
        <x:v>70.77</x:v>
      </x:c>
      <x:c r="K441" s="12" t="n">
        <x:f>G441*H441*(1-I441)</x:f>
        <x:v>383.49</x:v>
      </x:c>
      <x:c r="L441" s="12" t="n">
        <x:f>K441-(G441*J441)</x:f>
        <x:v>171.18</x:v>
      </x:c>
      <x:c r="M441" s="16" t="n">
        <x:f>IFERROR(L441/K441,0)</x:f>
        <x:v>0.44637409058906363</x:v>
      </x:c>
    </x:row>
    <x:row r="442">
      <x:c r="A442" t="str">
        <x:v>ORD-00441</x:v>
      </x:c>
      <x:c r="B442" s="10" t="n">
        <x:v>46049</x:v>
      </x:c>
      <x:c r="C442" t="str">
        <x:v>South</x:v>
      </x:c>
      <x:c r="D442" t="str">
        <x:v>Home</x:v>
      </x:c>
      <x:c r="E442" t="str">
        <x:v>Smart Lamp</x:v>
      </x:c>
      <x:c r="F442" t="str">
        <x:v>Ana</x:v>
      </x:c>
      <x:c r="G442" t="n">
        <x:v>8</x:v>
      </x:c>
      <x:c r="H442" s="12" t="n">
        <x:v>64.62</x:v>
      </x:c>
      <x:c r="I442" s="14" t="n">
        <x:v>0</x:v>
      </x:c>
      <x:c r="J442" s="12" t="n">
        <x:v>28.94</x:v>
      </x:c>
      <x:c r="K442" s="12" t="n">
        <x:f>G442*H442*(1-I442)</x:f>
        <x:v>516.96</x:v>
      </x:c>
      <x:c r="L442" s="12" t="n">
        <x:f>K442-(G442*J442)</x:f>
        <x:v>285.44000000000005</x:v>
      </x:c>
      <x:c r="M442" s="16" t="n">
        <x:f>IFERROR(L442/K442,0)</x:f>
        <x:v>0.5521510368307027</x:v>
      </x:c>
    </x:row>
    <x:row r="443">
      <x:c r="A443" t="str">
        <x:v>ORD-00442</x:v>
      </x:c>
      <x:c r="B443" s="10" t="n">
        <x:v>46243</x:v>
      </x:c>
      <x:c r="C443" t="str">
        <x:v>Northeast</x:v>
      </x:c>
      <x:c r="D443" t="str">
        <x:v>Office</x:v>
      </x:c>
      <x:c r="E443" t="str">
        <x:v>Standing Desk</x:v>
      </x:c>
      <x:c r="F443" t="str">
        <x:v>Carla</x:v>
      </x:c>
      <x:c r="G443" t="n">
        <x:v>8</x:v>
      </x:c>
      <x:c r="H443" s="12" t="n">
        <x:v>418.75</x:v>
      </x:c>
      <x:c r="I443" s="14" t="n">
        <x:v>0</x:v>
      </x:c>
      <x:c r="J443" s="12" t="n">
        <x:v>265.22</x:v>
      </x:c>
      <x:c r="K443" s="12" t="n">
        <x:f>G443*H443*(1-I443)</x:f>
        <x:v>3350</x:v>
      </x:c>
      <x:c r="L443" s="12" t="n">
        <x:f>K443-(G443*J443)</x:f>
        <x:v>1228.2399999999998</x:v>
      </x:c>
      <x:c r="M443" s="16" t="n">
        <x:f>IFERROR(L443/K443,0)</x:f>
        <x:v>0.3666388059701492</x:v>
      </x:c>
    </x:row>
    <x:row r="444">
      <x:c r="A444" t="str">
        <x:v>ORD-00443</x:v>
      </x:c>
      <x:c r="B444" s="10" t="n">
        <x:v>46190</x:v>
      </x:c>
      <x:c r="C444" t="str">
        <x:v>Southeast</x:v>
      </x:c>
      <x:c r="D444" t="str">
        <x:v>Office</x:v>
      </x:c>
      <x:c r="E444" t="str">
        <x:v>Desk Lamp</x:v>
      </x:c>
      <x:c r="F444" t="str">
        <x:v>Diego</x:v>
      </x:c>
      <x:c r="G444" t="n">
        <x:v>6</x:v>
      </x:c>
      <x:c r="H444" s="12" t="n">
        <x:v>56.21</x:v>
      </x:c>
      <x:c r="I444" s="14" t="n">
        <x:v>0.05</x:v>
      </x:c>
      <x:c r="J444" s="12" t="n">
        <x:v>24.26</x:v>
      </x:c>
      <x:c r="K444" s="12" t="n">
        <x:f>G444*H444*(1-I444)</x:f>
        <x:v>320.397</x:v>
      </x:c>
      <x:c r="L444" s="12" t="n">
        <x:f>K444-(G444*J444)</x:f>
        <x:v>174.837</x:v>
      </x:c>
      <x:c r="M444" s="16" t="n">
        <x:f>IFERROR(L444/K444,0)</x:f>
        <x:v>0.5456886300433524</x:v>
      </x:c>
    </x:row>
    <x:row r="445">
      <x:c r="A445" t="str">
        <x:v>ORD-00444</x:v>
      </x:c>
      <x:c r="B445" s="10" t="n">
        <x:v>46192</x:v>
      </x:c>
      <x:c r="C445" t="str">
        <x:v>Northeast</x:v>
      </x:c>
      <x:c r="D445" t="str">
        <x:v>Home</x:v>
      </x:c>
      <x:c r="E445" t="str">
        <x:v>Coffee Maker</x:v>
      </x:c>
      <x:c r="F445" t="str">
        <x:v>Elisa</x:v>
      </x:c>
      <x:c r="G445" t="n">
        <x:v>7</x:v>
      </x:c>
      <x:c r="H445" s="12" t="n">
        <x:v>129.3</x:v>
      </x:c>
      <x:c r="I445" s="14" t="n">
        <x:v>0</x:v>
      </x:c>
      <x:c r="J445" s="12" t="n">
        <x:v>73.77</x:v>
      </x:c>
      <x:c r="K445" s="12" t="n">
        <x:f>G445*H445*(1-I445)</x:f>
        <x:v>905.1000000000001</x:v>
      </x:c>
      <x:c r="L445" s="12" t="n">
        <x:f>K445-(G445*J445)</x:f>
        <x:v>388.71000000000015</x:v>
      </x:c>
      <x:c r="M445" s="16" t="n">
        <x:f>IFERROR(L445/K445,0)</x:f>
        <x:v>0.4294663573085848</x:v>
      </x:c>
    </x:row>
    <x:row r="446">
      <x:c r="A446" t="str">
        <x:v>ORD-00445</x:v>
      </x:c>
      <x:c r="B446" s="10" t="n">
        <x:v>46036</x:v>
      </x:c>
      <x:c r="C446" t="str">
        <x:v>Southeast</x:v>
      </x:c>
      <x:c r="D446" t="str">
        <x:v>Office</x:v>
      </x:c>
      <x:c r="E446" t="str">
        <x:v>Desk Lamp</x:v>
      </x:c>
      <x:c r="F446" t="str">
        <x:v>Diego</x:v>
      </x:c>
      <x:c r="G446" t="n">
        <x:v>8</x:v>
      </x:c>
      <x:c r="H446" s="12" t="n">
        <x:v>57.1</x:v>
      </x:c>
      <x:c r="I446" s="14" t="n">
        <x:v>0.15</x:v>
      </x:c>
      <x:c r="J446" s="12" t="n">
        <x:v>23.61</x:v>
      </x:c>
      <x:c r="K446" s="12" t="n">
        <x:f>G446*H446*(1-I446)</x:f>
        <x:v>388.28</x:v>
      </x:c>
      <x:c r="L446" s="12" t="n">
        <x:f>K446-(G446*J446)</x:f>
        <x:v>199.39999999999998</x:v>
      </x:c>
      <x:c r="M446" s="16" t="n">
        <x:f>IFERROR(L446/K446,0)</x:f>
        <x:v>0.513546924899557</x:v>
      </x:c>
    </x:row>
    <x:row r="447">
      <x:c r="A447" t="str">
        <x:v>ORD-00446</x:v>
      </x:c>
      <x:c r="B447" s="10" t="n">
        <x:v>46105</x:v>
      </x:c>
      <x:c r="C447" t="str">
        <x:v>Southeast</x:v>
      </x:c>
      <x:c r="D447" t="str">
        <x:v>Accessories</x:v>
      </x:c>
      <x:c r="E447" t="str">
        <x:v>USB-C Hub</x:v>
      </x:c>
      <x:c r="F447" t="str">
        <x:v>Ana</x:v>
      </x:c>
      <x:c r="G447" t="n">
        <x:v>4</x:v>
      </x:c>
      <x:c r="H447" s="12" t="n">
        <x:v>69.59</x:v>
      </x:c>
      <x:c r="I447" s="14" t="n">
        <x:v>0.05</x:v>
      </x:c>
      <x:c r="J447" s="12" t="n">
        <x:v>32.67</x:v>
      </x:c>
      <x:c r="K447" s="12" t="n">
        <x:f>G447*H447*(1-I447)</x:f>
        <x:v>264.442</x:v>
      </x:c>
      <x:c r="L447" s="12" t="n">
        <x:f>K447-(G447*J447)</x:f>
        <x:v>133.762</x:v>
      </x:c>
      <x:c r="M447" s="16" t="n">
        <x:f>IFERROR(L447/K447,0)</x:f>
        <x:v>0.505827364790767</x:v>
      </x:c>
    </x:row>
    <x:row r="448">
      <x:c r="A448" t="str">
        <x:v>ORD-00447</x:v>
      </x:c>
      <x:c r="B448" s="10" t="n">
        <x:v>46140</x:v>
      </x:c>
      <x:c r="C448" t="str">
        <x:v>South</x:v>
      </x:c>
      <x:c r="D448" t="str">
        <x:v>Home</x:v>
      </x:c>
      <x:c r="E448" t="str">
        <x:v>Air Purifier</x:v>
      </x:c>
      <x:c r="F448" t="str">
        <x:v>Felipe</x:v>
      </x:c>
      <x:c r="G448" t="n">
        <x:v>8</x:v>
      </x:c>
      <x:c r="H448" s="12" t="n">
        <x:v>174.72</x:v>
      </x:c>
      <x:c r="I448" s="14" t="n">
        <x:v>0.05</x:v>
      </x:c>
      <x:c r="J448" s="12" t="n">
        <x:v>110.54</x:v>
      </x:c>
      <x:c r="K448" s="12" t="n">
        <x:f>G448*H448*(1-I448)</x:f>
        <x:v>1327.8719999999998</x:v>
      </x:c>
      <x:c r="L448" s="12" t="n">
        <x:f>K448-(G448*J448)</x:f>
        <x:v>443.5519999999998</x:v>
      </x:c>
      <x:c r="M448" s="16" t="n">
        <x:f>IFERROR(L448/K448,0)</x:f>
        <x:v>0.334032195874301</x:v>
      </x:c>
    </x:row>
    <x:row r="449">
      <x:c r="A449" t="str">
        <x:v>ORD-00448</x:v>
      </x:c>
      <x:c r="B449" s="10" t="n">
        <x:v>46027</x:v>
      </x:c>
      <x:c r="C449" t="str">
        <x:v>Southeast</x:v>
      </x:c>
      <x:c r="D449" t="str">
        <x:v>Home</x:v>
      </x:c>
      <x:c r="E449" t="str">
        <x:v>Air Purifier</x:v>
      </x:c>
      <x:c r="F449" t="str">
        <x:v>Felipe</x:v>
      </x:c>
      <x:c r="G449" t="n">
        <x:v>1</x:v>
      </x:c>
      <x:c r="H449" s="12" t="n">
        <x:v>185.63</x:v>
      </x:c>
      <x:c r="I449" s="14" t="n">
        <x:v>0.15</x:v>
      </x:c>
      <x:c r="J449" s="12" t="n">
        <x:v>113.1</x:v>
      </x:c>
      <x:c r="K449" s="12" t="n">
        <x:f>G449*H449*(1-I449)</x:f>
        <x:v>157.78549999999998</x:v>
      </x:c>
      <x:c r="L449" s="12" t="n">
        <x:f>K449-(G449*J449)</x:f>
        <x:v>44.68549999999999</x:v>
      </x:c>
      <x:c r="M449" s="16" t="n">
        <x:f>IFERROR(L449/K449,0)</x:f>
        <x:v>0.28320409670090085</x:v>
      </x:c>
    </x:row>
    <x:row r="450">
      <x:c r="A450" t="str">
        <x:v>ORD-00449</x:v>
      </x:c>
      <x:c r="B450" s="10" t="n">
        <x:v>46100</x:v>
      </x:c>
      <x:c r="C450" t="str">
        <x:v>North</x:v>
      </x:c>
      <x:c r="D450" t="str">
        <x:v>Office</x:v>
      </x:c>
      <x:c r="E450" t="str">
        <x:v>Desk Lamp</x:v>
      </x:c>
      <x:c r="F450" t="str">
        <x:v>Bruno</x:v>
      </x:c>
      <x:c r="G450" t="n">
        <x:v>8</x:v>
      </x:c>
      <x:c r="H450" s="12" t="n">
        <x:v>54.6</x:v>
      </x:c>
      <x:c r="I450" s="14" t="n">
        <x:v>0.2</x:v>
      </x:c>
      <x:c r="J450" s="12" t="n">
        <x:v>23.59</x:v>
      </x:c>
      <x:c r="K450" s="12" t="n">
        <x:f>G450*H450*(1-I450)</x:f>
        <x:v>349.44000000000005</x:v>
      </x:c>
      <x:c r="L450" s="12" t="n">
        <x:f>K450-(G450*J450)</x:f>
        <x:v>160.72000000000006</x:v>
      </x:c>
      <x:c r="M450" s="16" t="n">
        <x:f>IFERROR(L450/K450,0)</x:f>
        <x:v>0.4599358974358975</x:v>
      </x:c>
    </x:row>
    <x:row r="451">
      <x:c r="A451" t="str">
        <x:v>ORD-00450</x:v>
      </x:c>
      <x:c r="B451" s="10" t="n">
        <x:v>46239</x:v>
      </x:c>
      <x:c r="C451" t="str">
        <x:v>South</x:v>
      </x:c>
      <x:c r="D451" t="str">
        <x:v>Home</x:v>
      </x:c>
      <x:c r="E451" t="str">
        <x:v>Smart Lamp</x:v>
      </x:c>
      <x:c r="F451" t="str">
        <x:v>Bruno</x:v>
      </x:c>
      <x:c r="G451" t="n">
        <x:v>6</x:v>
      </x:c>
      <x:c r="H451" s="12" t="n">
        <x:v>63.07</x:v>
      </x:c>
      <x:c r="I451" s="14" t="n">
        <x:v>0.1</x:v>
      </x:c>
      <x:c r="J451" s="12" t="n">
        <x:v>29.52</x:v>
      </x:c>
      <x:c r="K451" s="12" t="n">
        <x:f>G451*H451*(1-I451)</x:f>
        <x:v>340.57800000000003</x:v>
      </x:c>
      <x:c r="L451" s="12" t="n">
        <x:f>K451-(G451*J451)</x:f>
        <x:v>163.45800000000003</x:v>
      </x:c>
      <x:c r="M451" s="16" t="n">
        <x:f>IFERROR(L451/K451,0)</x:f>
        <x:v>0.47994292056445226</x:v>
      </x:c>
    </x:row>
    <x:row r="452">
      <x:c r="A452" t="str">
        <x:v>ORD-00451</x:v>
      </x:c>
      <x:c r="B452" s="10" t="n">
        <x:v>46023</x:v>
      </x:c>
      <x:c r="C452" t="str">
        <x:v>Southeast</x:v>
      </x:c>
      <x:c r="D452" t="str">
        <x:v>Accessories</x:v>
      </x:c>
      <x:c r="E452" t="str">
        <x:v>Webcam HD</x:v>
      </x:c>
      <x:c r="F452" t="str">
        <x:v>Bruno</x:v>
      </x:c>
      <x:c r="G452" t="n">
        <x:v>6</x:v>
      </x:c>
      <x:c r="H452" s="12" t="n">
        <x:v>91.59</x:v>
      </x:c>
      <x:c r="I452" s="14" t="n">
        <x:v>0.1</x:v>
      </x:c>
      <x:c r="J452" s="12" t="n">
        <x:v>47.43</x:v>
      </x:c>
      <x:c r="K452" s="12" t="n">
        <x:f>G452*H452*(1-I452)</x:f>
        <x:v>494.58599999999996</x:v>
      </x:c>
      <x:c r="L452" s="12" t="n">
        <x:f>K452-(G452*J452)</x:f>
        <x:v>210.00599999999997</x:v>
      </x:c>
      <x:c r="M452" s="16" t="n">
        <x:f>IFERROR(L452/K452,0)</x:f>
        <x:v>0.42460967354514684</x:v>
      </x:c>
    </x:row>
    <x:row r="453">
      <x:c r="A453" t="str">
        <x:v>ORD-00452</x:v>
      </x:c>
      <x:c r="B453" s="10" t="n">
        <x:v>46233</x:v>
      </x:c>
      <x:c r="C453" t="str">
        <x:v>Northeast</x:v>
      </x:c>
      <x:c r="D453" t="str">
        <x:v>Home</x:v>
      </x:c>
      <x:c r="E453" t="str">
        <x:v>Air Purifier</x:v>
      </x:c>
      <x:c r="F453" t="str">
        <x:v>Diego</x:v>
      </x:c>
      <x:c r="G453" t="n">
        <x:v>5</x:v>
      </x:c>
      <x:c r="H453" s="12" t="n">
        <x:v>175.84</x:v>
      </x:c>
      <x:c r="I453" s="14" t="n">
        <x:v>0.1</x:v>
      </x:c>
      <x:c r="J453" s="12" t="n">
        <x:v>112.92</x:v>
      </x:c>
      <x:c r="K453" s="12" t="n">
        <x:f>G453*H453*(1-I453)</x:f>
        <x:v>791.2800000000001</x:v>
      </x:c>
      <x:c r="L453" s="12" t="n">
        <x:f>K453-(G453*J453)</x:f>
        <x:v>226.68000000000006</x:v>
      </x:c>
      <x:c r="M453" s="16" t="n">
        <x:f>IFERROR(L453/K453,0)</x:f>
        <x:v>0.28647255080376105</x:v>
      </x:c>
    </x:row>
    <x:row r="454">
      <x:c r="A454" t="str">
        <x:v>ORD-00453</x:v>
      </x:c>
      <x:c r="B454" s="10" t="n">
        <x:v>46078</x:v>
      </x:c>
      <x:c r="C454" t="str">
        <x:v>South</x:v>
      </x:c>
      <x:c r="D454" t="str">
        <x:v>Office</x:v>
      </x:c>
      <x:c r="E454" t="str">
        <x:v>Desk Lamp</x:v>
      </x:c>
      <x:c r="F454" t="str">
        <x:v>Felipe</x:v>
      </x:c>
      <x:c r="G454" t="n">
        <x:v>6</x:v>
      </x:c>
      <x:c r="H454" s="12" t="n">
        <x:v>54.85</x:v>
      </x:c>
      <x:c r="I454" s="14" t="n">
        <x:v>0</x:v>
      </x:c>
      <x:c r="J454" s="12" t="n">
        <x:v>24.63</x:v>
      </x:c>
      <x:c r="K454" s="12" t="n">
        <x:f>G454*H454*(1-I454)</x:f>
        <x:v>329.1</x:v>
      </x:c>
      <x:c r="L454" s="12" t="n">
        <x:f>K454-(G454*J454)</x:f>
        <x:v>181.32000000000002</x:v>
      </x:c>
      <x:c r="M454" s="16" t="n">
        <x:f>IFERROR(L454/K454,0)</x:f>
        <x:v>0.5509571558796719</x:v>
      </x:c>
    </x:row>
    <x:row r="455">
      <x:c r="A455" t="str">
        <x:v>ORD-00454</x:v>
      </x:c>
      <x:c r="B455" s="10" t="n">
        <x:v>46173</x:v>
      </x:c>
      <x:c r="C455" t="str">
        <x:v>Southeast</x:v>
      </x:c>
      <x:c r="D455" t="str">
        <x:v>Home</x:v>
      </x:c>
      <x:c r="E455" t="str">
        <x:v>Coffee Maker</x:v>
      </x:c>
      <x:c r="F455" t="str">
        <x:v>Elisa</x:v>
      </x:c>
      <x:c r="G455" t="n">
        <x:v>3</x:v>
      </x:c>
      <x:c r="H455" s="12" t="n">
        <x:v>120.05</x:v>
      </x:c>
      <x:c r="I455" s="14" t="n">
        <x:v>0.2</x:v>
      </x:c>
      <x:c r="J455" s="12" t="n">
        <x:v>73.21</x:v>
      </x:c>
      <x:c r="K455" s="12" t="n">
        <x:f>G455*H455*(1-I455)</x:f>
        <x:v>288.12</x:v>
      </x:c>
      <x:c r="L455" s="12" t="n">
        <x:f>K455-(G455*J455)</x:f>
        <x:v>68.49000000000001</x:v>
      </x:c>
      <x:c r="M455" s="16" t="n">
        <x:f>IFERROR(L455/K455,0)</x:f>
        <x:v>0.23771345272803002</x:v>
      </x:c>
    </x:row>
    <x:row r="456">
      <x:c r="A456" t="str">
        <x:v>ORD-00455</x:v>
      </x:c>
      <x:c r="B456" s="10" t="n">
        <x:v>46262</x:v>
      </x:c>
      <x:c r="C456" t="str">
        <x:v>South</x:v>
      </x:c>
      <x:c r="D456" t="str">
        <x:v>Home</x:v>
      </x:c>
      <x:c r="E456" t="str">
        <x:v>Smart Lamp</x:v>
      </x:c>
      <x:c r="F456" t="str">
        <x:v>Ana</x:v>
      </x:c>
      <x:c r="G456" t="n">
        <x:v>3</x:v>
      </x:c>
      <x:c r="H456" s="12" t="n">
        <x:v>63.42</x:v>
      </x:c>
      <x:c r="I456" s="14" t="n">
        <x:v>0.1</x:v>
      </x:c>
      <x:c r="J456" s="12" t="n">
        <x:v>29.6</x:v>
      </x:c>
      <x:c r="K456" s="12" t="n">
        <x:f>G456*H456*(1-I456)</x:f>
        <x:v>171.234</x:v>
      </x:c>
      <x:c r="L456" s="12" t="n">
        <x:f>K456-(G456*J456)</x:f>
        <x:v>82.434</x:v>
      </x:c>
      <x:c r="M456" s="16" t="n">
        <x:f>IFERROR(L456/K456,0)</x:f>
        <x:v>0.48141140194120324</x:v>
      </x:c>
    </x:row>
    <x:row r="457">
      <x:c r="A457" t="str">
        <x:v>ORD-00456</x:v>
      </x:c>
      <x:c r="B457" s="10" t="n">
        <x:v>46122</x:v>
      </x:c>
      <x:c r="C457" t="str">
        <x:v>Northeast</x:v>
      </x:c>
      <x:c r="D457" t="str">
        <x:v>Accessories</x:v>
      </x:c>
      <x:c r="E457" t="str">
        <x:v>Webcam HD</x:v>
      </x:c>
      <x:c r="F457" t="str">
        <x:v>Bruno</x:v>
      </x:c>
      <x:c r="G457" t="n">
        <x:v>7</x:v>
      </x:c>
      <x:c r="H457" s="12" t="n">
        <x:v>96.41</x:v>
      </x:c>
      <x:c r="I457" s="14" t="n">
        <x:v>0.05</x:v>
      </x:c>
      <x:c r="J457" s="12" t="n">
        <x:v>48.7</x:v>
      </x:c>
      <x:c r="K457" s="12" t="n">
        <x:f>G457*H457*(1-I457)</x:f>
        <x:v>641.1265</x:v>
      </x:c>
      <x:c r="L457" s="12" t="n">
        <x:f>K457-(G457*J457)</x:f>
        <x:v>300.22649999999993</x:v>
      </x:c>
      <x:c r="M457" s="16" t="n">
        <x:f>IFERROR(L457/K457,0)</x:f>
        <x:v>0.46827966087815737</x:v>
      </x:c>
    </x:row>
    <x:row r="458">
      <x:c r="A458" t="str">
        <x:v>ORD-00457</x:v>
      </x:c>
      <x:c r="B458" s="10" t="n">
        <x:v>46093</x:v>
      </x:c>
      <x:c r="C458" t="str">
        <x:v>South</x:v>
      </x:c>
      <x:c r="D458" t="str">
        <x:v>Accessories</x:v>
      </x:c>
      <x:c r="E458" t="str">
        <x:v>Backpack</x:v>
      </x:c>
      <x:c r="F458" t="str">
        <x:v>Felipe</x:v>
      </x:c>
      <x:c r="G458" t="n">
        <x:v>8</x:v>
      </x:c>
      <x:c r="H458" s="12" t="n">
        <x:v>82.66</x:v>
      </x:c>
      <x:c r="I458" s="14" t="n">
        <x:v>0.15</x:v>
      </x:c>
      <x:c r="J458" s="12" t="n">
        <x:v>42.43</x:v>
      </x:c>
      <x:c r="K458" s="12" t="n">
        <x:f>G458*H458*(1-I458)</x:f>
        <x:v>562.088</x:v>
      </x:c>
      <x:c r="L458" s="12" t="n">
        <x:f>K458-(G458*J458)</x:f>
        <x:v>222.64799999999997</x:v>
      </x:c>
      <x:c r="M458" s="16" t="n">
        <x:f>IFERROR(L458/K458,0)</x:f>
        <x:v>0.3961087943524857</x:v>
      </x:c>
    </x:row>
    <x:row r="459">
      <x:c r="A459" t="str">
        <x:v>ORD-00458</x:v>
      </x:c>
      <x:c r="B459" s="10" t="n">
        <x:v>46154</x:v>
      </x:c>
      <x:c r="C459" t="str">
        <x:v>Southeast</x:v>
      </x:c>
      <x:c r="D459" t="str">
        <x:v>Accessories</x:v>
      </x:c>
      <x:c r="E459" t="str">
        <x:v>Webcam HD</x:v>
      </x:c>
      <x:c r="F459" t="str">
        <x:v>Carla</x:v>
      </x:c>
      <x:c r="G459" t="n">
        <x:v>4</x:v>
      </x:c>
      <x:c r="H459" s="12" t="n">
        <x:v>96.54</x:v>
      </x:c>
      <x:c r="I459" s="14" t="n">
        <x:v>0</x:v>
      </x:c>
      <x:c r="J459" s="12" t="n">
        <x:v>47.74</x:v>
      </x:c>
      <x:c r="K459" s="12" t="n">
        <x:f>G459*H459*(1-I459)</x:f>
        <x:v>386.16</x:v>
      </x:c>
      <x:c r="L459" s="12" t="n">
        <x:f>K459-(G459*J459)</x:f>
        <x:v>195.20000000000002</x:v>
      </x:c>
      <x:c r="M459" s="16" t="n">
        <x:f>IFERROR(L459/K459,0)</x:f>
        <x:v>0.505489952351357</x:v>
      </x:c>
    </x:row>
    <x:row r="460">
      <x:c r="A460" t="str">
        <x:v>ORD-00459</x:v>
      </x:c>
      <x:c r="B460" s="10" t="n">
        <x:v>46258</x:v>
      </x:c>
      <x:c r="C460" t="str">
        <x:v>Northeast</x:v>
      </x:c>
      <x:c r="D460" t="str">
        <x:v>Office</x:v>
      </x:c>
      <x:c r="E460" t="str">
        <x:v>Desk Lamp</x:v>
      </x:c>
      <x:c r="F460" t="str">
        <x:v>Elisa</x:v>
      </x:c>
      <x:c r="G460" t="n">
        <x:v>6</x:v>
      </x:c>
      <x:c r="H460" s="12" t="n">
        <x:v>56.57</x:v>
      </x:c>
      <x:c r="I460" s="14" t="n">
        <x:v>0.1</x:v>
      </x:c>
      <x:c r="J460" s="12" t="n">
        <x:v>24.19</x:v>
      </x:c>
      <x:c r="K460" s="12" t="n">
        <x:f>G460*H460*(1-I460)</x:f>
        <x:v>305.478</x:v>
      </x:c>
      <x:c r="L460" s="12" t="n">
        <x:f>K460-(G460*J460)</x:f>
        <x:v>160.338</x:v>
      </x:c>
      <x:c r="M460" s="16" t="n">
        <x:f>IFERROR(L460/K460,0)</x:f>
        <x:v>0.5248757684677783</x:v>
      </x:c>
    </x:row>
    <x:row r="461">
      <x:c r="A461" t="str">
        <x:v>ORD-00460</x:v>
      </x:c>
      <x:c r="B461" s="10" t="n">
        <x:v>46169</x:v>
      </x:c>
      <x:c r="C461" t="str">
        <x:v>North</x:v>
      </x:c>
      <x:c r="D461" t="str">
        <x:v>Home</x:v>
      </x:c>
      <x:c r="E461" t="str">
        <x:v>Smart Lamp</x:v>
      </x:c>
      <x:c r="F461" t="str">
        <x:v>Ana</x:v>
      </x:c>
      <x:c r="G461" t="n">
        <x:v>5</x:v>
      </x:c>
      <x:c r="H461" s="12" t="n">
        <x:v>64.87</x:v>
      </x:c>
      <x:c r="I461" s="14" t="n">
        <x:v>0.15</x:v>
      </x:c>
      <x:c r="J461" s="12" t="n">
        <x:v>28.44</x:v>
      </x:c>
      <x:c r="K461" s="12" t="n">
        <x:f>G461*H461*(1-I461)</x:f>
        <x:v>275.6975</x:v>
      </x:c>
      <x:c r="L461" s="12" t="n">
        <x:f>K461-(G461*J461)</x:f>
        <x:v>133.49749999999997</x:v>
      </x:c>
      <x:c r="M461" s="16" t="n">
        <x:f>IFERROR(L461/K461,0)</x:f>
        <x:v>0.4842173033850506</x:v>
      </x:c>
    </x:row>
    <x:row r="462">
      <x:c r="A462" t="str">
        <x:v>ORD-00461</x:v>
      </x:c>
      <x:c r="B462" s="10" t="n">
        <x:v>46029</x:v>
      </x:c>
      <x:c r="C462" t="str">
        <x:v>South</x:v>
      </x:c>
      <x:c r="D462" t="str">
        <x:v>Technology</x:v>
      </x:c>
      <x:c r="E462" t="str">
        <x:v>Monitor 27</x:v>
      </x:c>
      <x:c r="F462" t="str">
        <x:v>Carla</x:v>
      </x:c>
      <x:c r="G462" t="n">
        <x:v>1</x:v>
      </x:c>
      <x:c r="H462" s="12" t="n">
        <x:v>297.98</x:v>
      </x:c>
      <x:c r="I462" s="14" t="n">
        <x:v>0</x:v>
      </x:c>
      <x:c r="J462" s="12" t="n">
        <x:v>177.85</x:v>
      </x:c>
      <x:c r="K462" s="12" t="n">
        <x:f>G462*H462*(1-I462)</x:f>
        <x:v>297.98</x:v>
      </x:c>
      <x:c r="L462" s="12" t="n">
        <x:f>K462-(G462*J462)</x:f>
        <x:v>120.13000000000002</x:v>
      </x:c>
      <x:c r="M462" s="16" t="n">
        <x:f>IFERROR(L462/K462,0)</x:f>
        <x:v>0.4031478622726358</x:v>
      </x:c>
    </x:row>
    <x:row r="463">
      <x:c r="A463" t="str">
        <x:v>ORD-00462</x:v>
      </x:c>
      <x:c r="B463" s="10" t="n">
        <x:v>46197</x:v>
      </x:c>
      <x:c r="C463" t="str">
        <x:v>Southeast</x:v>
      </x:c>
      <x:c r="D463" t="str">
        <x:v>Technology</x:v>
      </x:c>
      <x:c r="E463" t="str">
        <x:v>Monitor 27</x:v>
      </x:c>
      <x:c r="F463" t="str">
        <x:v>Diego</x:v>
      </x:c>
      <x:c r="G463" t="n">
        <x:v>5</x:v>
      </x:c>
      <x:c r="H463" s="12" t="n">
        <x:v>292.52</x:v>
      </x:c>
      <x:c r="I463" s="14" t="n">
        <x:v>0</x:v>
      </x:c>
      <x:c r="J463" s="12" t="n">
        <x:v>179.63</x:v>
      </x:c>
      <x:c r="K463" s="12" t="n">
        <x:f>G463*H463*(1-I463)</x:f>
        <x:v>1462.6</x:v>
      </x:c>
      <x:c r="L463" s="12" t="n">
        <x:f>K463-(G463*J463)</x:f>
        <x:v>564.4499999999999</x:v>
      </x:c>
      <x:c r="M463" s="16" t="n">
        <x:f>IFERROR(L463/K463,0)</x:f>
        <x:v>0.3859223300970874</x:v>
      </x:c>
    </x:row>
    <x:row r="464">
      <x:c r="A464" t="str">
        <x:v>ORD-00463</x:v>
      </x:c>
      <x:c r="B464" s="10" t="n">
        <x:v>46049</x:v>
      </x:c>
      <x:c r="C464" t="str">
        <x:v>Northeast</x:v>
      </x:c>
      <x:c r="D464" t="str">
        <x:v>Office</x:v>
      </x:c>
      <x:c r="E464" t="str">
        <x:v>Desk Lamp</x:v>
      </x:c>
      <x:c r="F464" t="str">
        <x:v>Carla</x:v>
      </x:c>
      <x:c r="G464" t="n">
        <x:v>7</x:v>
      </x:c>
      <x:c r="H464" s="12" t="n">
        <x:v>56.68</x:v>
      </x:c>
      <x:c r="I464" s="14" t="n">
        <x:v>0</x:v>
      </x:c>
      <x:c r="J464" s="12" t="n">
        <x:v>24.48</x:v>
      </x:c>
      <x:c r="K464" s="12" t="n">
        <x:f>G464*H464*(1-I464)</x:f>
        <x:v>396.76</x:v>
      </x:c>
      <x:c r="L464" s="12" t="n">
        <x:f>K464-(G464*J464)</x:f>
        <x:v>225.39999999999998</x:v>
      </x:c>
      <x:c r="M464" s="16" t="n">
        <x:f>IFERROR(L464/K464,0)</x:f>
        <x:v>0.5681016231474947</x:v>
      </x:c>
    </x:row>
    <x:row r="465">
      <x:c r="A465" t="str">
        <x:v>ORD-00464</x:v>
      </x:c>
      <x:c r="B465" s="10" t="n">
        <x:v>46200</x:v>
      </x:c>
      <x:c r="C465" t="str">
        <x:v>Northeast</x:v>
      </x:c>
      <x:c r="D465" t="str">
        <x:v>Home</x:v>
      </x:c>
      <x:c r="E465" t="str">
        <x:v>Coffee Maker</x:v>
      </x:c>
      <x:c r="F465" t="str">
        <x:v>Elisa</x:v>
      </x:c>
      <x:c r="G465" t="n">
        <x:v>7</x:v>
      </x:c>
      <x:c r="H465" s="12" t="n">
        <x:v>130.98</x:v>
      </x:c>
      <x:c r="I465" s="14" t="n">
        <x:v>0.2</x:v>
      </x:c>
      <x:c r="J465" s="12" t="n">
        <x:v>71.69</x:v>
      </x:c>
      <x:c r="K465" s="12" t="n">
        <x:f>G465*H465*(1-I465)</x:f>
        <x:v>733.4879999999999</x:v>
      </x:c>
      <x:c r="L465" s="12" t="n">
        <x:f>K465-(G465*J465)</x:f>
        <x:v>231.65799999999996</x:v>
      </x:c>
      <x:c r="M465" s="16" t="n">
        <x:f>IFERROR(L465/K465,0)</x:f>
        <x:v>0.3158306611696442</x:v>
      </x:c>
    </x:row>
    <x:row r="466">
      <x:c r="A466" t="str">
        <x:v>ORD-00465</x:v>
      </x:c>
      <x:c r="B466" s="10" t="n">
        <x:v>46036</x:v>
      </x:c>
      <x:c r="C466" t="str">
        <x:v>Southeast</x:v>
      </x:c>
      <x:c r="D466" t="str">
        <x:v>Accessories</x:v>
      </x:c>
      <x:c r="E466" t="str">
        <x:v>USB-C Hub</x:v>
      </x:c>
      <x:c r="F466" t="str">
        <x:v>Felipe</x:v>
      </x:c>
      <x:c r="G466" t="n">
        <x:v>8</x:v>
      </x:c>
      <x:c r="H466" s="12" t="n">
        <x:v>72.94</x:v>
      </x:c>
      <x:c r="I466" s="14" t="n">
        <x:v>0.15</x:v>
      </x:c>
      <x:c r="J466" s="12" t="n">
        <x:v>32.49</x:v>
      </x:c>
      <x:c r="K466" s="12" t="n">
        <x:f>G466*H466*(1-I466)</x:f>
        <x:v>495.99199999999996</x:v>
      </x:c>
      <x:c r="L466" s="12" t="n">
        <x:f>K466-(G466*J466)</x:f>
        <x:v>236.07199999999995</x:v>
      </x:c>
      <x:c r="M466" s="16" t="n">
        <x:f>IFERROR(L466/K466,0)</x:f>
        <x:v>0.4759592896659623</x:v>
      </x:c>
    </x:row>
    <x:row r="467">
      <x:c r="A467" t="str">
        <x:v>ORD-00466</x:v>
      </x:c>
      <x:c r="B467" s="10" t="n">
        <x:v>46117</x:v>
      </x:c>
      <x:c r="C467" t="str">
        <x:v>Midwest</x:v>
      </x:c>
      <x:c r="D467" t="str">
        <x:v>Office</x:v>
      </x:c>
      <x:c r="E467" t="str">
        <x:v>Desk Lamp</x:v>
      </x:c>
      <x:c r="F467" t="str">
        <x:v>Bruno</x:v>
      </x:c>
      <x:c r="G467" t="n">
        <x:v>4</x:v>
      </x:c>
      <x:c r="H467" s="12" t="n">
        <x:v>53.68</x:v>
      </x:c>
      <x:c r="I467" s="14" t="n">
        <x:v>0</x:v>
      </x:c>
      <x:c r="J467" s="12" t="n">
        <x:v>24.34</x:v>
      </x:c>
      <x:c r="K467" s="12" t="n">
        <x:f>G467*H467*(1-I467)</x:f>
        <x:v>214.72</x:v>
      </x:c>
      <x:c r="L467" s="12" t="n">
        <x:f>K467-(G467*J467)</x:f>
        <x:v>117.36</x:v>
      </x:c>
      <x:c r="M467" s="16" t="n">
        <x:f>IFERROR(L467/K467,0)</x:f>
        <x:v>0.5465722801788375</x:v>
      </x:c>
    </x:row>
    <x:row r="468">
      <x:c r="A468" t="str">
        <x:v>ORD-00467</x:v>
      </x:c>
      <x:c r="B468" s="10" t="n">
        <x:v>46067</x:v>
      </x:c>
      <x:c r="C468" t="str">
        <x:v>Northeast</x:v>
      </x:c>
      <x:c r="D468" t="str">
        <x:v>Technology</x:v>
      </x:c>
      <x:c r="E468" t="str">
        <x:v>Wireless Mouse</x:v>
      </x:c>
      <x:c r="F468" t="str">
        <x:v>Elisa</x:v>
      </x:c>
      <x:c r="G468" t="n">
        <x:v>1</x:v>
      </x:c>
      <x:c r="H468" s="12" t="n">
        <x:v>35.35</x:v>
      </x:c>
      <x:c r="I468" s="14" t="n">
        <x:v>0.05</x:v>
      </x:c>
      <x:c r="J468" s="12" t="n">
        <x:v>15.78</x:v>
      </x:c>
      <x:c r="K468" s="12" t="n">
        <x:f>G468*H468*(1-I468)</x:f>
        <x:v>33.5825</x:v>
      </x:c>
      <x:c r="L468" s="12" t="n">
        <x:f>K468-(G468*J468)</x:f>
        <x:v>17.802500000000002</x:v>
      </x:c>
      <x:c r="M468" s="16" t="n">
        <x:f>IFERROR(L468/K468,0)</x:f>
        <x:v>0.5301124097372143</x:v>
      </x:c>
    </x:row>
    <x:row r="469">
      <x:c r="A469" t="str">
        <x:v>ORD-00468</x:v>
      </x:c>
      <x:c r="B469" s="10" t="n">
        <x:v>46239</x:v>
      </x:c>
      <x:c r="C469" t="str">
        <x:v>Southeast</x:v>
      </x:c>
      <x:c r="D469" t="str">
        <x:v>Accessories</x:v>
      </x:c>
      <x:c r="E469" t="str">
        <x:v>Backpack</x:v>
      </x:c>
      <x:c r="F469" t="str">
        <x:v>Felipe</x:v>
      </x:c>
      <x:c r="G469" t="n">
        <x:v>3</x:v>
      </x:c>
      <x:c r="H469" s="12" t="n">
        <x:v>88.7</x:v>
      </x:c>
      <x:c r="I469" s="14" t="n">
        <x:v>0</x:v>
      </x:c>
      <x:c r="J469" s="12" t="n">
        <x:v>42.41</x:v>
      </x:c>
      <x:c r="K469" s="12" t="n">
        <x:f>G469*H469*(1-I469)</x:f>
        <x:v>266.1</x:v>
      </x:c>
      <x:c r="L469" s="12" t="n">
        <x:f>K469-(G469*J469)</x:f>
        <x:v>138.87000000000003</x:v>
      </x:c>
      <x:c r="M469" s="16" t="n">
        <x:f>IFERROR(L469/K469,0)</x:f>
        <x:v>0.5218714768883879</x:v>
      </x:c>
    </x:row>
    <x:row r="470">
      <x:c r="A470" t="str">
        <x:v>ORD-00469</x:v>
      </x:c>
      <x:c r="B470" s="10" t="n">
        <x:v>46180</x:v>
      </x:c>
      <x:c r="C470" t="str">
        <x:v>Midwest</x:v>
      </x:c>
      <x:c r="D470" t="str">
        <x:v>Accessories</x:v>
      </x:c>
      <x:c r="E470" t="str">
        <x:v>Backpack</x:v>
      </x:c>
      <x:c r="F470" t="str">
        <x:v>Bruno</x:v>
      </x:c>
      <x:c r="G470" t="n">
        <x:v>6</x:v>
      </x:c>
      <x:c r="H470" s="12" t="n">
        <x:v>87.01</x:v>
      </x:c>
      <x:c r="I470" s="14" t="n">
        <x:v>0</x:v>
      </x:c>
      <x:c r="J470" s="12" t="n">
        <x:v>42.26</x:v>
      </x:c>
      <x:c r="K470" s="12" t="n">
        <x:f>G470*H470*(1-I470)</x:f>
        <x:v>522.0600000000001</x:v>
      </x:c>
      <x:c r="L470" s="12" t="n">
        <x:f>K470-(G470*J470)</x:f>
        <x:v>268.50000000000006</x:v>
      </x:c>
      <x:c r="M470" s="16" t="n">
        <x:f>IFERROR(L470/K470,0)</x:f>
        <x:v>0.5143087001494082</x:v>
      </x:c>
    </x:row>
    <x:row r="471">
      <x:c r="A471" t="str">
        <x:v>ORD-00470</x:v>
      </x:c>
      <x:c r="B471" s="10" t="n">
        <x:v>46156</x:v>
      </x:c>
      <x:c r="C471" t="str">
        <x:v>Southeast</x:v>
      </x:c>
      <x:c r="D471" t="str">
        <x:v>Office</x:v>
      </x:c>
      <x:c r="E471" t="str">
        <x:v>Standing Desk</x:v>
      </x:c>
      <x:c r="F471" t="str">
        <x:v>Carla</x:v>
      </x:c>
      <x:c r="G471" t="n">
        <x:v>7</x:v>
      </x:c>
      <x:c r="H471" s="12" t="n">
        <x:v>411.56</x:v>
      </x:c>
      <x:c r="I471" s="14" t="n">
        <x:v>0</x:v>
      </x:c>
      <x:c r="J471" s="12" t="n">
        <x:v>267.48</x:v>
      </x:c>
      <x:c r="K471" s="12" t="n">
        <x:f>G471*H471*(1-I471)</x:f>
        <x:v>2880.92</x:v>
      </x:c>
      <x:c r="L471" s="12" t="n">
        <x:f>K471-(G471*J471)</x:f>
        <x:v>1008.56</x:v>
      </x:c>
      <x:c r="M471" s="16" t="n">
        <x:f>IFERROR(L471/K471,0)</x:f>
        <x:v>0.3500826124987851</x:v>
      </x:c>
    </x:row>
    <x:row r="472">
      <x:c r="A472" t="str">
        <x:v>ORD-00471</x:v>
      </x:c>
      <x:c r="B472" s="10" t="n">
        <x:v>46107</x:v>
      </x:c>
      <x:c r="C472" t="str">
        <x:v>South</x:v>
      </x:c>
      <x:c r="D472" t="str">
        <x:v>Office</x:v>
      </x:c>
      <x:c r="E472" t="str">
        <x:v>Desk Lamp</x:v>
      </x:c>
      <x:c r="F472" t="str">
        <x:v>Ana</x:v>
      </x:c>
      <x:c r="G472" t="n">
        <x:v>8</x:v>
      </x:c>
      <x:c r="H472" s="12" t="n">
        <x:v>56.88</x:v>
      </x:c>
      <x:c r="I472" s="14" t="n">
        <x:v>0.2</x:v>
      </x:c>
      <x:c r="J472" s="12" t="n">
        <x:v>24.7</x:v>
      </x:c>
      <x:c r="K472" s="12" t="n">
        <x:f>G472*H472*(1-I472)</x:f>
        <x:v>364.03200000000004</x:v>
      </x:c>
      <x:c r="L472" s="12" t="n">
        <x:f>K472-(G472*J472)</x:f>
        <x:v>166.43200000000004</x:v>
      </x:c>
      <x:c r="M472" s="16" t="n">
        <x:f>IFERROR(L472/K472,0)</x:f>
        <x:v>0.45719057665260204</x:v>
      </x:c>
    </x:row>
    <x:row r="473">
      <x:c r="A473" t="str">
        <x:v>ORD-00472</x:v>
      </x:c>
      <x:c r="B473" s="10" t="n">
        <x:v>46052</x:v>
      </x:c>
      <x:c r="C473" t="str">
        <x:v>Northeast</x:v>
      </x:c>
      <x:c r="D473" t="str">
        <x:v>Home</x:v>
      </x:c>
      <x:c r="E473" t="str">
        <x:v>Air Purifier</x:v>
      </x:c>
      <x:c r="F473" t="str">
        <x:v>Ana</x:v>
      </x:c>
      <x:c r="G473" t="n">
        <x:v>4</x:v>
      </x:c>
      <x:c r="H473" s="12" t="n">
        <x:v>183.86</x:v>
      </x:c>
      <x:c r="I473" s="14" t="n">
        <x:v>0.2</x:v>
      </x:c>
      <x:c r="J473" s="12" t="n">
        <x:v>109.57</x:v>
      </x:c>
      <x:c r="K473" s="12" t="n">
        <x:f>G473*H473*(1-I473)</x:f>
        <x:v>588.3520000000001</x:v>
      </x:c>
      <x:c r="L473" s="12" t="n">
        <x:f>K473-(G473*J473)</x:f>
        <x:v>150.07200000000012</x:v>
      </x:c>
      <x:c r="M473" s="16" t="n">
        <x:f>IFERROR(L473/K473,0)</x:f>
        <x:v>0.25507179375611894</x:v>
      </x:c>
    </x:row>
    <x:row r="474">
      <x:c r="A474" t="str">
        <x:v>ORD-00473</x:v>
      </x:c>
      <x:c r="B474" s="10" t="n">
        <x:v>46121</x:v>
      </x:c>
      <x:c r="C474" t="str">
        <x:v>Southeast</x:v>
      </x:c>
      <x:c r="D474" t="str">
        <x:v>Accessories</x:v>
      </x:c>
      <x:c r="E474" t="str">
        <x:v>USB-C Hub</x:v>
      </x:c>
      <x:c r="F474" t="str">
        <x:v>Carla</x:v>
      </x:c>
      <x:c r="G474" t="n">
        <x:v>6</x:v>
      </x:c>
      <x:c r="H474" s="12" t="n">
        <x:v>70.41</x:v>
      </x:c>
      <x:c r="I474" s="14" t="n">
        <x:v>0.05</x:v>
      </x:c>
      <x:c r="J474" s="12" t="n">
        <x:v>32.14</x:v>
      </x:c>
      <x:c r="K474" s="12" t="n">
        <x:f>G474*H474*(1-I474)</x:f>
        <x:v>401.337</x:v>
      </x:c>
      <x:c r="L474" s="12" t="n">
        <x:f>K474-(G474*J474)</x:f>
        <x:v>208.49699999999999</x:v>
      </x:c>
      <x:c r="M474" s="16" t="n">
        <x:f>IFERROR(L474/K474,0)</x:f>
        <x:v>0.5195060510244508</x:v>
      </x:c>
    </x:row>
    <x:row r="475">
      <x:c r="A475" t="str">
        <x:v>ORD-00474</x:v>
      </x:c>
      <x:c r="B475" s="10" t="n">
        <x:v>46252</x:v>
      </x:c>
      <x:c r="C475" t="str">
        <x:v>Northeast</x:v>
      </x:c>
      <x:c r="D475" t="str">
        <x:v>Accessories</x:v>
      </x:c>
      <x:c r="E475" t="str">
        <x:v>Webcam HD</x:v>
      </x:c>
      <x:c r="F475" t="str">
        <x:v>Elisa</x:v>
      </x:c>
      <x:c r="G475" t="n">
        <x:v>2</x:v>
      </x:c>
      <x:c r="H475" s="12" t="n">
        <x:v>92.63</x:v>
      </x:c>
      <x:c r="I475" s="14" t="n">
        <x:v>0.2</x:v>
      </x:c>
      <x:c r="J475" s="12" t="n">
        <x:v>49.34</x:v>
      </x:c>
      <x:c r="K475" s="12" t="n">
        <x:f>G475*H475*(1-I475)</x:f>
        <x:v>148.208</x:v>
      </x:c>
      <x:c r="L475" s="12" t="n">
        <x:f>K475-(G475*J475)</x:f>
        <x:v>49.52799999999999</x:v>
      </x:c>
      <x:c r="M475" s="16" t="n">
        <x:f>IFERROR(L475/K475,0)</x:f>
        <x:v>0.33417899168735826</x:v>
      </x:c>
    </x:row>
    <x:row r="476">
      <x:c r="A476" t="str">
        <x:v>ORD-00475</x:v>
      </x:c>
      <x:c r="B476" s="10" t="n">
        <x:v>46159</x:v>
      </x:c>
      <x:c r="C476" t="str">
        <x:v>Southeast</x:v>
      </x:c>
      <x:c r="D476" t="str">
        <x:v>Technology</x:v>
      </x:c>
      <x:c r="E476" t="str">
        <x:v>Laptop Pro</x:v>
      </x:c>
      <x:c r="F476" t="str">
        <x:v>Elisa</x:v>
      </x:c>
      <x:c r="G476" t="n">
        <x:v>4</x:v>
      </x:c>
      <x:c r="H476" s="12" t="n">
        <x:v>1197.81</x:v>
      </x:c>
      <x:c r="I476" s="14" t="n">
        <x:v>0.15</x:v>
      </x:c>
      <x:c r="J476" s="12" t="n">
        <x:v>837.42</x:v>
      </x:c>
      <x:c r="K476" s="12" t="n">
        <x:f>G476*H476*(1-I476)</x:f>
        <x:v>4072.5539999999996</x:v>
      </x:c>
      <x:c r="L476" s="12" t="n">
        <x:f>K476-(G476*J476)</x:f>
        <x:v>722.8739999999998</x:v>
      </x:c>
      <x:c r="M476" s="16" t="n">
        <x:f>IFERROR(L476/K476,0)</x:f>
        <x:v>0.1774989355573922</x:v>
      </x:c>
    </x:row>
    <x:row r="477">
      <x:c r="A477" t="str">
        <x:v>ORD-00476</x:v>
      </x:c>
      <x:c r="B477" s="10" t="n">
        <x:v>46235</x:v>
      </x:c>
      <x:c r="C477" t="str">
        <x:v>Northeast</x:v>
      </x:c>
      <x:c r="D477" t="str">
        <x:v>Home</x:v>
      </x:c>
      <x:c r="E477" t="str">
        <x:v>Smart Lamp</x:v>
      </x:c>
      <x:c r="F477" t="str">
        <x:v>Carla</x:v>
      </x:c>
      <x:c r="G477" t="n">
        <x:v>2</x:v>
      </x:c>
      <x:c r="H477" s="12" t="n">
        <x:v>63.3</x:v>
      </x:c>
      <x:c r="I477" s="14" t="n">
        <x:v>0.1</x:v>
      </x:c>
      <x:c r="J477" s="12" t="n">
        <x:v>29.09</x:v>
      </x:c>
      <x:c r="K477" s="12" t="n">
        <x:f>G477*H477*(1-I477)</x:f>
        <x:v>113.94</x:v>
      </x:c>
      <x:c r="L477" s="12" t="n">
        <x:f>K477-(G477*J477)</x:f>
        <x:v>55.76</x:v>
      </x:c>
      <x:c r="M477" s="16" t="n">
        <x:f>IFERROR(L477/K477,0)</x:f>
        <x:v>0.4893803756362998</x:v>
      </x:c>
    </x:row>
    <x:row r="478">
      <x:c r="A478" t="str">
        <x:v>ORD-00477</x:v>
      </x:c>
      <x:c r="B478" s="10" t="n">
        <x:v>46032</x:v>
      </x:c>
      <x:c r="C478" t="str">
        <x:v>Southeast</x:v>
      </x:c>
      <x:c r="D478" t="str">
        <x:v>Technology</x:v>
      </x:c>
      <x:c r="E478" t="str">
        <x:v>Laptop Pro</x:v>
      </x:c>
      <x:c r="F478" t="str">
        <x:v>Carla</x:v>
      </x:c>
      <x:c r="G478" t="n">
        <x:v>5</x:v>
      </x:c>
      <x:c r="H478" s="12" t="n">
        <x:v>1214.1</x:v>
      </x:c>
      <x:c r="I478" s="14" t="n">
        <x:v>0.05</x:v>
      </x:c>
      <x:c r="J478" s="12" t="n">
        <x:v>842.67</x:v>
      </x:c>
      <x:c r="K478" s="12" t="n">
        <x:f>G478*H478*(1-I478)</x:f>
        <x:v>5766.974999999999</x:v>
      </x:c>
      <x:c r="L478" s="12" t="n">
        <x:f>K478-(G478*J478)</x:f>
        <x:v>1553.625</x:v>
      </x:c>
      <x:c r="M478" s="16" t="n">
        <x:f>IFERROR(L478/K478,0)</x:f>
        <x:v>0.26940033553119275</x:v>
      </x:c>
    </x:row>
    <x:row r="479">
      <x:c r="A479" t="str">
        <x:v>ORD-00478</x:v>
      </x:c>
      <x:c r="B479" s="10" t="n">
        <x:v>46127</x:v>
      </x:c>
      <x:c r="C479" t="str">
        <x:v>South</x:v>
      </x:c>
      <x:c r="D479" t="str">
        <x:v>Home</x:v>
      </x:c>
      <x:c r="E479" t="str">
        <x:v>Coffee Maker</x:v>
      </x:c>
      <x:c r="F479" t="str">
        <x:v>Felipe</x:v>
      </x:c>
      <x:c r="G479" t="n">
        <x:v>6</x:v>
      </x:c>
      <x:c r="H479" s="12" t="n">
        <x:v>127.57</x:v>
      </x:c>
      <x:c r="I479" s="14" t="n">
        <x:v>0</x:v>
      </x:c>
      <x:c r="J479" s="12" t="n">
        <x:v>72.49</x:v>
      </x:c>
      <x:c r="K479" s="12" t="n">
        <x:f>G479*H479*(1-I479)</x:f>
        <x:v>765.42</x:v>
      </x:c>
      <x:c r="L479" s="12" t="n">
        <x:f>K479-(G479*J479)</x:f>
        <x:v>330.48</x:v>
      </x:c>
      <x:c r="M479" s="16" t="n">
        <x:f>IFERROR(L479/K479,0)</x:f>
        <x:v>0.43176295367249357</x:v>
      </x:c>
    </x:row>
    <x:row r="480">
      <x:c r="A480" t="str">
        <x:v>ORD-00479</x:v>
      </x:c>
      <x:c r="B480" s="10" t="n">
        <x:v>46207</x:v>
      </x:c>
      <x:c r="C480" t="str">
        <x:v>Northeast</x:v>
      </x:c>
      <x:c r="D480" t="str">
        <x:v>Technology</x:v>
      </x:c>
      <x:c r="E480" t="str">
        <x:v>Monitor 27</x:v>
      </x:c>
      <x:c r="F480" t="str">
        <x:v>Felipe</x:v>
      </x:c>
      <x:c r="G480" t="n">
        <x:v>2</x:v>
      </x:c>
      <x:c r="H480" s="12" t="n">
        <x:v>291.52</x:v>
      </x:c>
      <x:c r="I480" s="14" t="n">
        <x:v>0.05</x:v>
      </x:c>
      <x:c r="J480" s="12" t="n">
        <x:v>179.01</x:v>
      </x:c>
      <x:c r="K480" s="12" t="n">
        <x:f>G480*H480*(1-I480)</x:f>
        <x:v>553.8879999999999</x:v>
      </x:c>
      <x:c r="L480" s="12" t="n">
        <x:f>K480-(G480*J480)</x:f>
        <x:v>195.86799999999994</x:v>
      </x:c>
      <x:c r="M480" s="16" t="n">
        <x:f>IFERROR(L480/K480,0)</x:f>
        <x:v>0.35362383731006986</x:v>
      </x:c>
    </x:row>
    <x:row r="481">
      <x:c r="A481" t="str">
        <x:v>ORD-00480</x:v>
      </x:c>
      <x:c r="B481" s="10" t="n">
        <x:v>46100</x:v>
      </x:c>
      <x:c r="C481" t="str">
        <x:v>Northeast</x:v>
      </x:c>
      <x:c r="D481" t="str">
        <x:v>Accessories</x:v>
      </x:c>
      <x:c r="E481" t="str">
        <x:v>Backpack</x:v>
      </x:c>
      <x:c r="F481" t="str">
        <x:v>Elisa</x:v>
      </x:c>
      <x:c r="G481" t="n">
        <x:v>7</x:v>
      </x:c>
      <x:c r="H481" s="12" t="n">
        <x:v>86.65</x:v>
      </x:c>
      <x:c r="I481" s="14" t="n">
        <x:v>0.05</x:v>
      </x:c>
      <x:c r="J481" s="12" t="n">
        <x:v>42.16</x:v>
      </x:c>
      <x:c r="K481" s="12" t="n">
        <x:f>G481*H481*(1-I481)</x:f>
        <x:v>576.2225000000001</x:v>
      </x:c>
      <x:c r="L481" s="12" t="n">
        <x:f>K481-(G481*J481)</x:f>
        <x:v>281.1025000000001</x:v>
      </x:c>
      <x:c r="M481" s="16" t="n">
        <x:f>IFERROR(L481/K481,0)</x:f>
        <x:v>0.4878367297354755</x:v>
      </x:c>
    </x:row>
    <x:row r="482">
      <x:c r="A482" t="str">
        <x:v>ORD-00481</x:v>
      </x:c>
      <x:c r="B482" s="10" t="n">
        <x:v>46079</x:v>
      </x:c>
      <x:c r="C482" t="str">
        <x:v>Southeast</x:v>
      </x:c>
      <x:c r="D482" t="str">
        <x:v>Home</x:v>
      </x:c>
      <x:c r="E482" t="str">
        <x:v>Smart Lamp</x:v>
      </x:c>
      <x:c r="F482" t="str">
        <x:v>Felipe</x:v>
      </x:c>
      <x:c r="G482" t="n">
        <x:v>5</x:v>
      </x:c>
      <x:c r="H482" s="12" t="n">
        <x:v>63.24</x:v>
      </x:c>
      <x:c r="I482" s="14" t="n">
        <x:v>0.2</x:v>
      </x:c>
      <x:c r="J482" s="12" t="n">
        <x:v>29.4</x:v>
      </x:c>
      <x:c r="K482" s="12" t="n">
        <x:f>G482*H482*(1-I482)</x:f>
        <x:v>252.96</x:v>
      </x:c>
      <x:c r="L482" s="12" t="n">
        <x:f>K482-(G482*J482)</x:f>
        <x:v>105.96000000000001</x:v>
      </x:c>
      <x:c r="M482" s="16" t="n">
        <x:f>IFERROR(L482/K482,0)</x:f>
        <x:v>0.41888045540796964</x:v>
      </x:c>
    </x:row>
    <x:row r="483">
      <x:c r="A483" t="str">
        <x:v>ORD-00482</x:v>
      </x:c>
      <x:c r="B483" s="10" t="n">
        <x:v>46188</x:v>
      </x:c>
      <x:c r="C483" t="str">
        <x:v>South</x:v>
      </x:c>
      <x:c r="D483" t="str">
        <x:v>Technology</x:v>
      </x:c>
      <x:c r="E483" t="str">
        <x:v>Monitor 27</x:v>
      </x:c>
      <x:c r="F483" t="str">
        <x:v>Elisa</x:v>
      </x:c>
      <x:c r="G483" t="n">
        <x:v>3</x:v>
      </x:c>
      <x:c r="H483" s="12" t="n">
        <x:v>278.53</x:v>
      </x:c>
      <x:c r="I483" s="14" t="n">
        <x:v>0</x:v>
      </x:c>
      <x:c r="J483" s="12" t="n">
        <x:v>181.77</x:v>
      </x:c>
      <x:c r="K483" s="12" t="n">
        <x:f>G483*H483*(1-I483)</x:f>
        <x:v>835.5899999999999</x:v>
      </x:c>
      <x:c r="L483" s="12" t="n">
        <x:f>K483-(G483*J483)</x:f>
        <x:v>290.27999999999986</x:v>
      </x:c>
      <x:c r="M483" s="16" t="n">
        <x:f>IFERROR(L483/K483,0)</x:f>
        <x:v>0.34739525365310725</x:v>
      </x:c>
    </x:row>
    <x:row r="484">
      <x:c r="A484" t="str">
        <x:v>ORD-00483</x:v>
      </x:c>
      <x:c r="B484" s="10" t="n">
        <x:v>46163</x:v>
      </x:c>
      <x:c r="C484" t="str">
        <x:v>North</x:v>
      </x:c>
      <x:c r="D484" t="str">
        <x:v>Accessories</x:v>
      </x:c>
      <x:c r="E484" t="str">
        <x:v>USB-C Hub</x:v>
      </x:c>
      <x:c r="F484" t="str">
        <x:v>Bruno</x:v>
      </x:c>
      <x:c r="G484" t="n">
        <x:v>6</x:v>
      </x:c>
      <x:c r="H484" s="12" t="n">
        <x:v>72.91</x:v>
      </x:c>
      <x:c r="I484" s="14" t="n">
        <x:v>0</x:v>
      </x:c>
      <x:c r="J484" s="12" t="n">
        <x:v>32.72</x:v>
      </x:c>
      <x:c r="K484" s="12" t="n">
        <x:f>G484*H484*(1-I484)</x:f>
        <x:v>437.46</x:v>
      </x:c>
      <x:c r="L484" s="12" t="n">
        <x:f>K484-(G484*J484)</x:f>
        <x:v>241.14</x:v>
      </x:c>
      <x:c r="M484" s="16" t="n">
        <x:f>IFERROR(L484/K484,0)</x:f>
        <x:v>0.5512275408037306</x:v>
      </x:c>
    </x:row>
    <x:row r="485">
      <x:c r="A485" t="str">
        <x:v>ORD-00484</x:v>
      </x:c>
      <x:c r="B485" s="10" t="n">
        <x:v>46064</x:v>
      </x:c>
      <x:c r="C485" t="str">
        <x:v>Southeast</x:v>
      </x:c>
      <x:c r="D485" t="str">
        <x:v>Accessories</x:v>
      </x:c>
      <x:c r="E485" t="str">
        <x:v>USB-C Hub</x:v>
      </x:c>
      <x:c r="F485" t="str">
        <x:v>Elisa</x:v>
      </x:c>
      <x:c r="G485" t="n">
        <x:v>2</x:v>
      </x:c>
      <x:c r="H485" s="12" t="n">
        <x:v>72.24</x:v>
      </x:c>
      <x:c r="I485" s="14" t="n">
        <x:v>0</x:v>
      </x:c>
      <x:c r="J485" s="12" t="n">
        <x:v>32.72</x:v>
      </x:c>
      <x:c r="K485" s="12" t="n">
        <x:f>G485*H485*(1-I485)</x:f>
        <x:v>144.48</x:v>
      </x:c>
      <x:c r="L485" s="12" t="n">
        <x:f>K485-(G485*J485)</x:f>
        <x:v>79.03999999999999</x:v>
      </x:c>
      <x:c r="M485" s="16" t="n">
        <x:f>IFERROR(L485/K485,0)</x:f>
        <x:v>0.5470653377630121</x:v>
      </x:c>
    </x:row>
    <x:row r="486">
      <x:c r="A486" t="str">
        <x:v>ORD-00485</x:v>
      </x:c>
      <x:c r="B486" s="10" t="n">
        <x:v>46141</x:v>
      </x:c>
      <x:c r="C486" t="str">
        <x:v>Northeast</x:v>
      </x:c>
      <x:c r="D486" t="str">
        <x:v>Technology</x:v>
      </x:c>
      <x:c r="E486" t="str">
        <x:v>Wireless Mouse</x:v>
      </x:c>
      <x:c r="F486" t="str">
        <x:v>Carla</x:v>
      </x:c>
      <x:c r="G486" t="n">
        <x:v>2</x:v>
      </x:c>
      <x:c r="H486" s="12" t="n">
        <x:v>34.22</x:v>
      </x:c>
      <x:c r="I486" s="14" t="n">
        <x:v>0</x:v>
      </x:c>
      <x:c r="J486" s="12" t="n">
        <x:v>16.14</x:v>
      </x:c>
      <x:c r="K486" s="12" t="n">
        <x:f>G486*H486*(1-I486)</x:f>
        <x:v>68.44</x:v>
      </x:c>
      <x:c r="L486" s="12" t="n">
        <x:f>K486-(G486*J486)</x:f>
        <x:v>36.16</x:v>
      </x:c>
      <x:c r="M486" s="16" t="n">
        <x:f>IFERROR(L486/K486,0)</x:f>
        <x:v>0.5283459964932787</x:v>
      </x:c>
    </x:row>
    <x:row r="487">
      <x:c r="A487" t="str">
        <x:v>ORD-00486</x:v>
      </x:c>
      <x:c r="B487" s="10" t="n">
        <x:v>46114</x:v>
      </x:c>
      <x:c r="C487" t="str">
        <x:v>Southeast</x:v>
      </x:c>
      <x:c r="D487" t="str">
        <x:v>Office</x:v>
      </x:c>
      <x:c r="E487" t="str">
        <x:v>Office Chair</x:v>
      </x:c>
      <x:c r="F487" t="str">
        <x:v>Diego</x:v>
      </x:c>
      <x:c r="G487" t="n">
        <x:v>5</x:v>
      </x:c>
      <x:c r="H487" s="12" t="n">
        <x:v>229.02</x:v>
      </x:c>
      <x:c r="I487" s="14" t="n">
        <x:v>0.1</x:v>
      </x:c>
      <x:c r="J487" s="12" t="n">
        <x:v>129.47</x:v>
      </x:c>
      <x:c r="K487" s="12" t="n">
        <x:f>G487*H487*(1-I487)</x:f>
        <x:v>1030.5900000000001</x:v>
      </x:c>
      <x:c r="L487" s="12" t="n">
        <x:f>K487-(G487*J487)</x:f>
        <x:v>383.2400000000001</x:v>
      </x:c>
      <x:c r="M487" s="16" t="n">
        <x:f>IFERROR(L487/K487,0)</x:f>
        <x:v>0.3718646600490982</x:v>
      </x:c>
    </x:row>
    <x:row r="488">
      <x:c r="A488" t="str">
        <x:v>ORD-00487</x:v>
      </x:c>
      <x:c r="B488" s="10" t="n">
        <x:v>46107</x:v>
      </x:c>
      <x:c r="C488" t="str">
        <x:v>Northeast</x:v>
      </x:c>
      <x:c r="D488" t="str">
        <x:v>Accessories</x:v>
      </x:c>
      <x:c r="E488" t="str">
        <x:v>Webcam HD</x:v>
      </x:c>
      <x:c r="F488" t="str">
        <x:v>Diego</x:v>
      </x:c>
      <x:c r="G488" t="n">
        <x:v>3</x:v>
      </x:c>
      <x:c r="H488" s="12" t="n">
        <x:v>94.32</x:v>
      </x:c>
      <x:c r="I488" s="14" t="n">
        <x:v>0.05</x:v>
      </x:c>
      <x:c r="J488" s="12" t="n">
        <x:v>47.8</x:v>
      </x:c>
      <x:c r="K488" s="12" t="n">
        <x:f>G488*H488*(1-I488)</x:f>
        <x:v>268.81199999999995</x:v>
      </x:c>
      <x:c r="L488" s="12" t="n">
        <x:f>K488-(G488*J488)</x:f>
        <x:v>125.41199999999998</x:v>
      </x:c>
      <x:c r="M488" s="16" t="n">
        <x:f>IFERROR(L488/K488,0)</x:f>
        <x:v>0.4665416722467747</x:v>
      </x:c>
    </x:row>
    <x:row r="489">
      <x:c r="A489" t="str">
        <x:v>ORD-00488</x:v>
      </x:c>
      <x:c r="B489" s="10" t="n">
        <x:v>46066</x:v>
      </x:c>
      <x:c r="C489" t="str">
        <x:v>Southeast</x:v>
      </x:c>
      <x:c r="D489" t="str">
        <x:v>Office</x:v>
      </x:c>
      <x:c r="E489" t="str">
        <x:v>Office Chair</x:v>
      </x:c>
      <x:c r="F489" t="str">
        <x:v>Carla</x:v>
      </x:c>
      <x:c r="G489" t="n">
        <x:v>7</x:v>
      </x:c>
      <x:c r="H489" s="12" t="n">
        <x:v>218.32</x:v>
      </x:c>
      <x:c r="I489" s="14" t="n">
        <x:v>0</x:v>
      </x:c>
      <x:c r="J489" s="12" t="n">
        <x:v>131.82</x:v>
      </x:c>
      <x:c r="K489" s="12" t="n">
        <x:f>G489*H489*(1-I489)</x:f>
        <x:v>1528.24</x:v>
      </x:c>
      <x:c r="L489" s="12" t="n">
        <x:f>K489-(G489*J489)</x:f>
        <x:v>605.5</x:v>
      </x:c>
      <x:c r="M489" s="16" t="n">
        <x:f>IFERROR(L489/K489,0)</x:f>
        <x:v>0.39620740197874676</x:v>
      </x:c>
    </x:row>
    <x:row r="490">
      <x:c r="A490" t="str">
        <x:v>ORD-00489</x:v>
      </x:c>
      <x:c r="B490" s="10" t="n">
        <x:v>46247</x:v>
      </x:c>
      <x:c r="C490" t="str">
        <x:v>South</x:v>
      </x:c>
      <x:c r="D490" t="str">
        <x:v>Home</x:v>
      </x:c>
      <x:c r="E490" t="str">
        <x:v>Coffee Maker</x:v>
      </x:c>
      <x:c r="F490" t="str">
        <x:v>Ana</x:v>
      </x:c>
      <x:c r="G490" t="n">
        <x:v>5</x:v>
      </x:c>
      <x:c r="H490" s="12" t="n">
        <x:v>121.22</x:v>
      </x:c>
      <x:c r="I490" s="14" t="n">
        <x:v>0.05</x:v>
      </x:c>
      <x:c r="J490" s="12" t="n">
        <x:v>72.88</x:v>
      </x:c>
      <x:c r="K490" s="12" t="n">
        <x:f>G490*H490*(1-I490)</x:f>
        <x:v>575.795</x:v>
      </x:c>
      <x:c r="L490" s="12" t="n">
        <x:f>K490-(G490*J490)</x:f>
        <x:v>211.39499999999998</x:v>
      </x:c>
      <x:c r="M490" s="16" t="n">
        <x:f>IFERROR(L490/K490,0)</x:f>
        <x:v>0.3671358730103596</x:v>
      </x:c>
    </x:row>
    <x:row r="491">
      <x:c r="A491" t="str">
        <x:v>ORD-00490</x:v>
      </x:c>
      <x:c r="B491" s="10" t="n">
        <x:v>46238</x:v>
      </x:c>
      <x:c r="C491" t="str">
        <x:v>Southeast</x:v>
      </x:c>
      <x:c r="D491" t="str">
        <x:v>Office</x:v>
      </x:c>
      <x:c r="E491" t="str">
        <x:v>Desk Lamp</x:v>
      </x:c>
      <x:c r="F491" t="str">
        <x:v>Ana</x:v>
      </x:c>
      <x:c r="G491" t="n">
        <x:v>4</x:v>
      </x:c>
      <x:c r="H491" s="12" t="n">
        <x:v>57.19</x:v>
      </x:c>
      <x:c r="I491" s="14" t="n">
        <x:v>0</x:v>
      </x:c>
      <x:c r="J491" s="12" t="n">
        <x:v>23.61</x:v>
      </x:c>
      <x:c r="K491" s="12" t="n">
        <x:f>G491*H491*(1-I491)</x:f>
        <x:v>228.76</x:v>
      </x:c>
      <x:c r="L491" s="12" t="n">
        <x:f>K491-(G491*J491)</x:f>
        <x:v>134.32</x:v>
      </x:c>
      <x:c r="M491" s="16" t="n">
        <x:f>IFERROR(L491/K491,0)</x:f>
        <x:v>0.5871655883895786</x:v>
      </x:c>
    </x:row>
    <x:row r="492">
      <x:c r="A492" t="str">
        <x:v>ORD-00491</x:v>
      </x:c>
      <x:c r="B492" s="10" t="n">
        <x:v>46251</x:v>
      </x:c>
      <x:c r="C492" t="str">
        <x:v>Southeast</x:v>
      </x:c>
      <x:c r="D492" t="str">
        <x:v>Technology</x:v>
      </x:c>
      <x:c r="E492" t="str">
        <x:v>Monitor 27</x:v>
      </x:c>
      <x:c r="F492" t="str">
        <x:v>Carla</x:v>
      </x:c>
      <x:c r="G492" t="n">
        <x:v>7</x:v>
      </x:c>
      <x:c r="H492" s="12" t="n">
        <x:v>283.95</x:v>
      </x:c>
      <x:c r="I492" s="14" t="n">
        <x:v>0.1</x:v>
      </x:c>
      <x:c r="J492" s="12" t="n">
        <x:v>176.73</x:v>
      </x:c>
      <x:c r="K492" s="12" t="n">
        <x:f>G492*H492*(1-I492)</x:f>
        <x:v>1788.885</x:v>
      </x:c>
      <x:c r="L492" s="12" t="n">
        <x:f>K492-(G492*J492)</x:f>
        <x:v>551.7750000000001</x:v>
      </x:c>
      <x:c r="M492" s="16" t="n">
        <x:f>IFERROR(L492/K492,0)</x:f>
        <x:v>0.30844632270939726</x:v>
      </x:c>
    </x:row>
    <x:row r="493">
      <x:c r="A493" t="str">
        <x:v>ORD-00492</x:v>
      </x:c>
      <x:c r="B493" s="10" t="n">
        <x:v>46162</x:v>
      </x:c>
      <x:c r="C493" t="str">
        <x:v>North</x:v>
      </x:c>
      <x:c r="D493" t="str">
        <x:v>Home</x:v>
      </x:c>
      <x:c r="E493" t="str">
        <x:v>Smart Lamp</x:v>
      </x:c>
      <x:c r="F493" t="str">
        <x:v>Felipe</x:v>
      </x:c>
      <x:c r="G493" t="n">
        <x:v>3</x:v>
      </x:c>
      <x:c r="H493" s="12" t="n">
        <x:v>63.71</x:v>
      </x:c>
      <x:c r="I493" s="14" t="n">
        <x:v>0.05</x:v>
      </x:c>
      <x:c r="J493" s="12" t="n">
        <x:v>29.54</x:v>
      </x:c>
      <x:c r="K493" s="12" t="n">
        <x:f>G493*H493*(1-I493)</x:f>
        <x:v>181.5735</x:v>
      </x:c>
      <x:c r="L493" s="12" t="n">
        <x:f>K493-(G493*J493)</x:f>
        <x:v>92.95349999999999</x:v>
      </x:c>
      <x:c r="M493" s="16" t="n">
        <x:f>IFERROR(L493/K493,0)</x:f>
        <x:v>0.511933184082479</x:v>
      </x:c>
    </x:row>
    <x:row r="494">
      <x:c r="A494" t="str">
        <x:v>ORD-00493</x:v>
      </x:c>
      <x:c r="B494" s="10" t="n">
        <x:v>46242</x:v>
      </x:c>
      <x:c r="C494" t="str">
        <x:v>Southeast</x:v>
      </x:c>
      <x:c r="D494" t="str">
        <x:v>Home</x:v>
      </x:c>
      <x:c r="E494" t="str">
        <x:v>Smart Lamp</x:v>
      </x:c>
      <x:c r="F494" t="str">
        <x:v>Elisa</x:v>
      </x:c>
      <x:c r="G494" t="n">
        <x:v>2</x:v>
      </x:c>
      <x:c r="H494" s="12" t="n">
        <x:v>65.34</x:v>
      </x:c>
      <x:c r="I494" s="14" t="n">
        <x:v>0.05</x:v>
      </x:c>
      <x:c r="J494" s="12" t="n">
        <x:v>29.38</x:v>
      </x:c>
      <x:c r="K494" s="12" t="n">
        <x:f>G494*H494*(1-I494)</x:f>
        <x:v>124.146</x:v>
      </x:c>
      <x:c r="L494" s="12" t="n">
        <x:f>K494-(G494*J494)</x:f>
        <x:v>65.386</x:v>
      </x:c>
      <x:c r="M494" s="16" t="n">
        <x:f>IFERROR(L494/K494,0)</x:f>
        <x:v>0.5266863209446941</x:v>
      </x:c>
    </x:row>
    <x:row r="495">
      <x:c r="A495" t="str">
        <x:v>ORD-00494</x:v>
      </x:c>
      <x:c r="B495" s="10" t="n">
        <x:v>46198</x:v>
      </x:c>
      <x:c r="C495" t="str">
        <x:v>Southeast</x:v>
      </x:c>
      <x:c r="D495" t="str">
        <x:v>Office</x:v>
      </x:c>
      <x:c r="E495" t="str">
        <x:v>Standing Desk</x:v>
      </x:c>
      <x:c r="F495" t="str">
        <x:v>Bruno</x:v>
      </x:c>
      <x:c r="G495" t="n">
        <x:v>3</x:v>
      </x:c>
      <x:c r="H495" s="12" t="n">
        <x:v>439.06</x:v>
      </x:c>
      <x:c r="I495" s="14" t="n">
        <x:v>0</x:v>
      </x:c>
      <x:c r="J495" s="12" t="n">
        <x:v>273.5</x:v>
      </x:c>
      <x:c r="K495" s="12" t="n">
        <x:f>G495*H495*(1-I495)</x:f>
        <x:v>1317.18</x:v>
      </x:c>
      <x:c r="L495" s="12" t="n">
        <x:f>K495-(G495*J495)</x:f>
        <x:v>496.68000000000006</x:v>
      </x:c>
      <x:c r="M495" s="16" t="n">
        <x:f>IFERROR(L495/K495,0)</x:f>
        <x:v>0.3770783036487041</x:v>
      </x:c>
    </x:row>
    <x:row r="496">
      <x:c r="A496" t="str">
        <x:v>ORD-00495</x:v>
      </x:c>
      <x:c r="B496" s="10" t="n">
        <x:v>46211</x:v>
      </x:c>
      <x:c r="C496" t="str">
        <x:v>Northeast</x:v>
      </x:c>
      <x:c r="D496" t="str">
        <x:v>Accessories</x:v>
      </x:c>
      <x:c r="E496" t="str">
        <x:v>USB-C Hub</x:v>
      </x:c>
      <x:c r="F496" t="str">
        <x:v>Bruno</x:v>
      </x:c>
      <x:c r="G496" t="n">
        <x:v>4</x:v>
      </x:c>
      <x:c r="H496" s="12" t="n">
        <x:v>68.66</x:v>
      </x:c>
      <x:c r="I496" s="14" t="n">
        <x:v>0.1</x:v>
      </x:c>
      <x:c r="J496" s="12" t="n">
        <x:v>31.78</x:v>
      </x:c>
      <x:c r="K496" s="12" t="n">
        <x:f>G496*H496*(1-I496)</x:f>
        <x:v>247.176</x:v>
      </x:c>
      <x:c r="L496" s="12" t="n">
        <x:f>K496-(G496*J496)</x:f>
        <x:v>120.05599999999998</x:v>
      </x:c>
      <x:c r="M496" s="16" t="n">
        <x:f>IFERROR(L496/K496,0)</x:f>
        <x:v>0.48571058678836126</x:v>
      </x:c>
    </x:row>
    <x:row r="497">
      <x:c r="A497" t="str">
        <x:v>ORD-00496</x:v>
      </x:c>
      <x:c r="B497" s="10" t="n">
        <x:v>46033</x:v>
      </x:c>
      <x:c r="C497" t="str">
        <x:v>Northeast</x:v>
      </x:c>
      <x:c r="D497" t="str">
        <x:v>Accessories</x:v>
      </x:c>
      <x:c r="E497" t="str">
        <x:v>Backpack</x:v>
      </x:c>
      <x:c r="F497" t="str">
        <x:v>Felipe</x:v>
      </x:c>
      <x:c r="G497" t="n">
        <x:v>8</x:v>
      </x:c>
      <x:c r="H497" s="12" t="n">
        <x:v>88.34</x:v>
      </x:c>
      <x:c r="I497" s="14" t="n">
        <x:v>0.15</x:v>
      </x:c>
      <x:c r="J497" s="12" t="n">
        <x:v>41.24</x:v>
      </x:c>
      <x:c r="K497" s="12" t="n">
        <x:f>G497*H497*(1-I497)</x:f>
        <x:v>600.712</x:v>
      </x:c>
      <x:c r="L497" s="12" t="n">
        <x:f>K497-(G497*J497)</x:f>
        <x:v>270.792</x:v>
      </x:c>
      <x:c r="M497" s="16" t="n">
        <x:f>IFERROR(L497/K497,0)</x:f>
        <x:v>0.4507850683855158</x:v>
      </x:c>
    </x:row>
    <x:row r="498">
      <x:c r="A498" t="str">
        <x:v>ORD-00497</x:v>
      </x:c>
      <x:c r="B498" s="10" t="n">
        <x:v>46105</x:v>
      </x:c>
      <x:c r="C498" t="str">
        <x:v>Southeast</x:v>
      </x:c>
      <x:c r="D498" t="str">
        <x:v>Accessories</x:v>
      </x:c>
      <x:c r="E498" t="str">
        <x:v>Webcam HD</x:v>
      </x:c>
      <x:c r="F498" t="str">
        <x:v>Diego</x:v>
      </x:c>
      <x:c r="G498" t="n">
        <x:v>5</x:v>
      </x:c>
      <x:c r="H498" s="12" t="n">
        <x:v>96.07</x:v>
      </x:c>
      <x:c r="I498" s="14" t="n">
        <x:v>0.05</x:v>
      </x:c>
      <x:c r="J498" s="12" t="n">
        <x:v>47.94</x:v>
      </x:c>
      <x:c r="K498" s="12" t="n">
        <x:f>G498*H498*(1-I498)</x:f>
        <x:v>456.3324999999999</x:v>
      </x:c>
      <x:c r="L498" s="12" t="n">
        <x:f>K498-(G498*J498)</x:f>
        <x:v>216.63249999999994</x:v>
      </x:c>
      <x:c r="M498" s="16" t="n">
        <x:f>IFERROR(L498/K498,0)</x:f>
        <x:v>0.4747251181978053</x:v>
      </x:c>
    </x:row>
    <x:row r="499">
      <x:c r="A499" t="str">
        <x:v>ORD-00498</x:v>
      </x:c>
      <x:c r="B499" s="10" t="n">
        <x:v>46116</x:v>
      </x:c>
      <x:c r="C499" t="str">
        <x:v>Northeast</x:v>
      </x:c>
      <x:c r="D499" t="str">
        <x:v>Technology</x:v>
      </x:c>
      <x:c r="E499" t="str">
        <x:v>Monitor 27</x:v>
      </x:c>
      <x:c r="F499" t="str">
        <x:v>Carla</x:v>
      </x:c>
      <x:c r="G499" t="n">
        <x:v>5</x:v>
      </x:c>
      <x:c r="H499" s="12" t="n">
        <x:v>302.08</x:v>
      </x:c>
      <x:c r="I499" s="14" t="n">
        <x:v>0.05</x:v>
      </x:c>
      <x:c r="J499" s="12" t="n">
        <x:v>181.05</x:v>
      </x:c>
      <x:c r="K499" s="12" t="n">
        <x:f>G499*H499*(1-I499)</x:f>
        <x:v>1434.8799999999999</x:v>
      </x:c>
      <x:c r="L499" s="12" t="n">
        <x:f>K499-(G499*J499)</x:f>
        <x:v>529.6299999999999</x:v>
      </x:c>
      <x:c r="M499" s="16" t="n">
        <x:f>IFERROR(L499/K499,0)</x:f>
        <x:v>0.36911100579839423</x:v>
      </x:c>
    </x:row>
    <x:row r="500">
      <x:c r="A500" t="str">
        <x:v>ORD-00499</x:v>
      </x:c>
      <x:c r="B500" s="10" t="n">
        <x:v>46232</x:v>
      </x:c>
      <x:c r="C500" t="str">
        <x:v>Midwest</x:v>
      </x:c>
      <x:c r="D500" t="str">
        <x:v>Home</x:v>
      </x:c>
      <x:c r="E500" t="str">
        <x:v>Coffee Maker</x:v>
      </x:c>
      <x:c r="F500" t="str">
        <x:v>Ana</x:v>
      </x:c>
      <x:c r="G500" t="n">
        <x:v>1</x:v>
      </x:c>
      <x:c r="H500" s="12" t="n">
        <x:v>121.56</x:v>
      </x:c>
      <x:c r="I500" s="14" t="n">
        <x:v>0.05</x:v>
      </x:c>
      <x:c r="J500" s="12" t="n">
        <x:v>71.16</x:v>
      </x:c>
      <x:c r="K500" s="12" t="n">
        <x:f>G500*H500*(1-I500)</x:f>
        <x:v>115.482</x:v>
      </x:c>
      <x:c r="L500" s="12" t="n">
        <x:f>K500-(G500*J500)</x:f>
        <x:v>44.322</x:v>
      </x:c>
      <x:c r="M500" s="16" t="n">
        <x:f>IFERROR(L500/K500,0)</x:f>
        <x:v>0.38380007273860867</x:v>
      </x:c>
    </x:row>
    <x:row r="501">
      <x:c r="A501" t="str">
        <x:v>ORD-00500</x:v>
      </x:c>
      <x:c r="B501" s="10" t="n">
        <x:v>46154</x:v>
      </x:c>
      <x:c r="C501" t="str">
        <x:v>Northeast</x:v>
      </x:c>
      <x:c r="D501" t="str">
        <x:v>Office</x:v>
      </x:c>
      <x:c r="E501" t="str">
        <x:v>Office Chair</x:v>
      </x:c>
      <x:c r="F501" t="str">
        <x:v>Felipe</x:v>
      </x:c>
      <x:c r="G501" t="n">
        <x:v>3</x:v>
      </x:c>
      <x:c r="H501" s="12" t="n">
        <x:v>223.12</x:v>
      </x:c>
      <x:c r="I501" s="14" t="n">
        <x:v>0</x:v>
      </x:c>
      <x:c r="J501" s="12" t="n">
        <x:v>132.71</x:v>
      </x:c>
      <x:c r="K501" s="12" t="n">
        <x:f>G501*H501*(1-I501)</x:f>
        <x:v>669.36</x:v>
      </x:c>
      <x:c r="L501" s="12" t="n">
        <x:f>K501-(G501*J501)</x:f>
        <x:v>271.23</x:v>
      </x:c>
      <x:c r="M501" s="16" t="n">
        <x:f>IFERROR(L501/K501,0)</x:f>
        <x:v>0.4052079598422374</x:v>
      </x:c>
    </x:row>
  </x:sheetData>
  <x:conditionalFormatting sqref="M2:M501">
    <x:cfRule type="colorScale" priority="1">
      <x:colorScale>
        <x:cfvo type="min"/>
        <x:cfvo type="percentile" val="50"/>
        <x:cfvo type="max"/>
        <x:color rgb="FFFDE2E2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46614acbed0646b9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</x:cols>
  <x:sheetData>
    <x:row r="1">
      <x:c r="A1" s="25" t="str">
        <x:v>SALES PERFORMANCE DASHBOARD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</x:row>
    <x:row r="2">
      <x:c r="A2" s="25"/>
      <x:c r="B2" s="25"/>
      <x:c r="C2" s="25"/>
      <x:c r="D2" s="25"/>
      <x:c r="E2" s="25"/>
      <x:c r="F2" s="25"/>
      <x:c r="G2" s="25"/>
      <x:c r="H2" s="25"/>
      <x:c r="I2" s="25"/>
      <x:c r="J2" s="25"/>
      <x:c r="K2" s="25"/>
      <x:c r="L2" s="25"/>
    </x:row>
    <x:row r="3">
      <x:c r="A3" s="33" t="str">
        <x:v>Portfolio Demo • Excel Dashboard • KPIs • Business Insights</x:v>
      </x:c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</x:row>
    <x:row r="4">
      <x:c r="A4" s="40" t="str">
        <x:v>TOTAL REVENUE</x:v>
      </x:c>
      <x:c r="B4" s="40"/>
      <x:c r="C4" s="40"/>
      <x:c r="D4" s="40" t="str">
        <x:v>TOTAL PROFIT</x:v>
      </x:c>
      <x:c r="E4" s="40"/>
      <x:c r="F4" s="40"/>
      <x:c r="G4" s="40" t="str">
        <x:v>PROFIT MARGIN</x:v>
      </x:c>
      <x:c r="H4" s="40"/>
      <x:c r="I4" s="40"/>
      <x:c r="J4" s="40" t="str">
        <x:v>ORDERS</x:v>
      </x:c>
      <x:c r="K4" s="40"/>
      <x:c r="L4" s="40"/>
    </x:row>
    <x:row r="5">
      <x:c r="A5" s="65" t="n">
        <x:f>SUM(Data!$K$2:$K$501)</x:f>
        <x:v>468702.51799999975</x:v>
      </x:c>
      <x:c r="B5" s="66"/>
      <x:c r="C5" s="67"/>
      <x:c r="D5" s="65" t="n">
        <x:f>SUM(Data!$L$2:$L$501)</x:f>
        <x:v>156299.96799999996</x:v>
      </x:c>
      <x:c r="E5" s="66"/>
      <x:c r="F5" s="67"/>
      <x:c r="G5" s="108" t="n">
        <x:f>IFERROR(SUM(Data!$L$2:$L$501)/SUM(Data!$K$2:$K$501),0)</x:f>
        <x:v>0.3334737109306506</x:v>
      </x:c>
      <x:c r="H5" s="66"/>
      <x:c r="I5" s="67"/>
      <x:c r="J5" s="120" t="n">
        <x:f>COUNTA(Data!$A$2:$A$501)</x:f>
        <x:v>500</x:v>
      </x:c>
      <x:c r="K5" s="66"/>
      <x:c r="L5" s="67"/>
    </x:row>
    <x:row r="6">
      <x:c r="A6" s="68"/>
      <x:c r="B6" s="69"/>
      <x:c r="C6" s="70"/>
      <x:c r="D6" s="68"/>
      <x:c r="E6" s="69"/>
      <x:c r="F6" s="70"/>
      <x:c r="G6" s="68"/>
      <x:c r="H6" s="69"/>
      <x:c r="I6" s="70"/>
      <x:c r="J6" s="68"/>
      <x:c r="K6" s="69"/>
      <x:c r="L6" s="70"/>
    </x:row>
    <x:row r="7">
      <x:c r="A7" s="71"/>
      <x:c r="B7" s="72"/>
      <x:c r="C7" s="73"/>
      <x:c r="D7" s="71"/>
      <x:c r="E7" s="72"/>
      <x:c r="F7" s="73"/>
      <x:c r="G7" s="71"/>
      <x:c r="H7" s="72"/>
      <x:c r="I7" s="73"/>
      <x:c r="J7" s="71"/>
      <x:c r="K7" s="72"/>
      <x:c r="L7" s="73"/>
    </x:row>
    <x:row r="24">
      <x:c r="G24" s="5" t="str">
        <x:v>BUSINESS INSIGHTS</x:v>
      </x:c>
      <x:c r="H24" s="5"/>
      <x:c r="I24" s="5"/>
      <x:c r="J24" s="5"/>
      <x:c r="K24" s="5"/>
      <x:c r="L24" s="5"/>
    </x:row>
    <x:row r="25">
      <x:c r="G25" s="144" t="str">
        <x:v>• Identify months with stronger or weaker sales performance.
• Compare categories by revenue and profit.
• Review regional performance to support sales decisions.
• Use the Data sheet filters to investigate products and salespeople.
Portfolio tip: replace this text with 3–5 insights you discover yourself.</x:v>
      </x:c>
      <x:c r="H25" s="145"/>
      <x:c r="I25" s="145"/>
      <x:c r="J25" s="145"/>
      <x:c r="K25" s="145"/>
      <x:c r="L25" s="146"/>
    </x:row>
    <x:row r="26">
      <x:c r="G26" s="147"/>
      <x:c r="H26" s="148"/>
      <x:c r="I26" s="148"/>
      <x:c r="J26" s="148"/>
      <x:c r="K26" s="148"/>
      <x:c r="L26" s="149"/>
    </x:row>
    <x:row r="27">
      <x:c r="G27" s="147"/>
      <x:c r="H27" s="148"/>
      <x:c r="I27" s="148"/>
      <x:c r="J27" s="148"/>
      <x:c r="K27" s="148"/>
      <x:c r="L27" s="149"/>
    </x:row>
    <x:row r="28">
      <x:c r="G28" s="147"/>
      <x:c r="H28" s="148"/>
      <x:c r="I28" s="148"/>
      <x:c r="J28" s="148"/>
      <x:c r="K28" s="148"/>
      <x:c r="L28" s="149"/>
    </x:row>
    <x:row r="29">
      <x:c r="G29" s="147"/>
      <x:c r="H29" s="148"/>
      <x:c r="I29" s="148"/>
      <x:c r="J29" s="148"/>
      <x:c r="K29" s="148"/>
      <x:c r="L29" s="149"/>
    </x:row>
    <x:row r="30">
      <x:c r="G30" s="147"/>
      <x:c r="H30" s="148"/>
      <x:c r="I30" s="148"/>
      <x:c r="J30" s="148"/>
      <x:c r="K30" s="148"/>
      <x:c r="L30" s="149"/>
    </x:row>
    <x:row r="31">
      <x:c r="G31" s="147"/>
      <x:c r="H31" s="148"/>
      <x:c r="I31" s="148"/>
      <x:c r="J31" s="148"/>
      <x:c r="K31" s="148"/>
      <x:c r="L31" s="149"/>
    </x:row>
    <x:row r="32">
      <x:c r="G32" s="147"/>
      <x:c r="H32" s="148"/>
      <x:c r="I32" s="148"/>
      <x:c r="J32" s="148"/>
      <x:c r="K32" s="148"/>
      <x:c r="L32" s="149"/>
    </x:row>
    <x:row r="33">
      <x:c r="G33" s="147"/>
      <x:c r="H33" s="148"/>
      <x:c r="I33" s="148"/>
      <x:c r="J33" s="148"/>
      <x:c r="K33" s="148"/>
      <x:c r="L33" s="149"/>
    </x:row>
    <x:row r="34">
      <x:c r="G34" s="147"/>
      <x:c r="H34" s="148"/>
      <x:c r="I34" s="148"/>
      <x:c r="J34" s="148"/>
      <x:c r="K34" s="148"/>
      <x:c r="L34" s="149"/>
    </x:row>
    <x:row r="35">
      <x:c r="G35" s="147"/>
      <x:c r="H35" s="148"/>
      <x:c r="I35" s="148"/>
      <x:c r="J35" s="148"/>
      <x:c r="K35" s="148"/>
      <x:c r="L35" s="149"/>
    </x:row>
    <x:row r="36">
      <x:c r="G36" s="147"/>
      <x:c r="H36" s="148"/>
      <x:c r="I36" s="148"/>
      <x:c r="J36" s="148"/>
      <x:c r="K36" s="148"/>
      <x:c r="L36" s="149"/>
    </x:row>
    <x:row r="37">
      <x:c r="G37" s="150"/>
      <x:c r="H37" s="151"/>
      <x:c r="I37" s="151"/>
      <x:c r="J37" s="151"/>
      <x:c r="K37" s="151"/>
      <x:c r="L37" s="152"/>
    </x:row>
  </x:sheetData>
  <x:mergeCells>
    <x:mergeCell ref="A1:L2"/>
    <x:mergeCell ref="A3:L3"/>
    <x:mergeCell ref="A4:C4"/>
    <x:mergeCell ref="D4:F4"/>
    <x:mergeCell ref="G4:I4"/>
    <x:mergeCell ref="J4:L4"/>
    <x:mergeCell ref="A5:C7"/>
    <x:mergeCell ref="D5:F7"/>
    <x:mergeCell ref="G5:I7"/>
    <x:mergeCell ref="J5:L7"/>
    <x:mergeCell ref="G24:L24"/>
    <x:mergeCell ref="G25:L37"/>
  </x:mergeCells>
  <x:pageMargins left="0.7" right="0.7" top="0.75" bottom="0.75" header="0.3" footer="0.3"/>
  <x:drawing xmlns:r="http://schemas.openxmlformats.org/officeDocument/2006/relationships" r:id="R1d1acddda85a4b27"/>
</x:worksheet>
</file>

<file path=xl/worksheets/sheet3.xml><?xml version="1.0" encoding="utf-8"?>
<x:worksheet xmlns:x="http://schemas.openxmlformats.org/spreadsheetml/2006/main">
  <x:sheetFormatPr defaultRowHeight="15"/>
  <x:cols>
    <x:col min="1" max="1" width="5.75" hidden="0" customWidth="1"/>
    <x:col min="2" max="2" width="7.130000114440918" hidden="0" customWidth="1"/>
    <x:col min="3" max="3" width="6.630000114440918" hidden="0" customWidth="1"/>
    <x:col min="5" max="5" width="9.130000114440918" hidden="0" customWidth="1"/>
    <x:col min="6" max="6" width="7.5" hidden="0" customWidth="1"/>
    <x:col min="7" max="7" width="6.630000114440918" hidden="0" customWidth="1"/>
    <x:col min="9" max="9" width="8" hidden="0" customWidth="1"/>
    <x:col min="10" max="10" width="7.5" hidden="0" customWidth="1"/>
    <x:col min="11" max="11" width="6.630000114440918" hidden="0" customWidth="1"/>
  </x:cols>
  <x:sheetData>
    <x:row r="1">
      <x:c r="A1" s="5" t="str">
        <x:v>Month</x:v>
      </x:c>
      <x:c r="B1" s="5" t="str">
        <x:v>Revenue</x:v>
      </x:c>
      <x:c r="C1" s="5" t="str">
        <x:v>Profit</x:v>
      </x:c>
      <x:c r="E1" s="5" t="str">
        <x:v>Category</x:v>
      </x:c>
      <x:c r="F1" s="5" t="str">
        <x:v>Revenue</x:v>
      </x:c>
      <x:c r="G1" s="5" t="str">
        <x:v>Profit</x:v>
      </x:c>
      <x:c r="I1" s="5" t="str">
        <x:v>Region</x:v>
      </x:c>
      <x:c r="J1" s="5" t="str">
        <x:v>Revenue</x:v>
      </x:c>
      <x:c r="K1" s="5" t="str">
        <x:v>Profit</x:v>
      </x:c>
    </x:row>
    <x:row r="2">
      <x:c r="A2" s="18" t="n">
        <x:v>46023</x:v>
      </x:c>
      <x:c r="B2" s="20" t="n">
        <x:f>SUMIFS(Data!$K$2:$K$501,Data!$B$2:$B$501,"&gt;="&amp;A2,Data!$B$2:$B$501,"&lt;"&amp;A3)</x:f>
        <x:v>91909.09250000003</x:v>
      </x:c>
      <x:c r="C2" s="20" t="n">
        <x:f>SUMIFS(Data!$L$2:$L$501,Data!$B$2:$B$501,"&gt;="&amp;A2,Data!$B$2:$B$501,"&lt;"&amp;A3)</x:f>
        <x:v>27950.532499999987</x:v>
      </x:c>
      <x:c r="E2" t="str">
        <x:v>Technology</x:v>
      </x:c>
      <x:c r="F2" s="20" t="n">
        <x:f>SUMIFS(Data!$K$2:$K$501,Data!$D$2:$D$501,E2)</x:f>
        <x:v>241046.04899999997</x:v>
      </x:c>
      <x:c r="G2" s="20" t="n">
        <x:f>SUMIFS(Data!$L$2:$L$501,Data!$D$2:$D$501,E2)</x:f>
        <x:v>67199.95899999997</x:v>
      </x:c>
      <x:c r="I2" t="str">
        <x:v>Southeast</x:v>
      </x:c>
      <x:c r="J2" s="20" t="n">
        <x:f>SUMIFS(Data!$K$2:$K$501,Data!$C$2:$C$501,I2)</x:f>
        <x:v>201858.73150000002</x:v>
      </x:c>
      <x:c r="K2" s="20" t="n">
        <x:f>SUMIFS(Data!$L$2:$L$501,Data!$C$2:$C$501,I2)</x:f>
        <x:v>65599.45150000002</x:v>
      </x:c>
    </x:row>
    <x:row r="3">
      <x:c r="A3" s="18" t="n">
        <x:v>46054</x:v>
      </x:c>
      <x:c r="B3" s="20" t="n">
        <x:f>SUMIFS(Data!$K$2:$K$501,Data!$B$2:$B$501,"&gt;="&amp;A3,Data!$B$2:$B$501,"&lt;"&amp;A4)</x:f>
        <x:v>37370.41549999999</x:v>
      </x:c>
      <x:c r="C3" s="20" t="n">
        <x:f>SUMIFS(Data!$L$2:$L$501,Data!$B$2:$B$501,"&gt;="&amp;A3,Data!$B$2:$B$501,"&lt;"&amp;A4)</x:f>
        <x:v>14372.0155</x:v>
      </x:c>
      <x:c r="E3" t="str">
        <x:v>Office</x:v>
      </x:c>
      <x:c r="F3" s="20" t="n">
        <x:f>SUMIFS(Data!$K$2:$K$501,Data!$D$2:$D$501,E3)</x:f>
        <x:v>116778.81700000002</x:v>
      </x:c>
      <x:c r="G3" s="20" t="n">
        <x:f>SUMIFS(Data!$L$2:$L$501,Data!$D$2:$D$501,E3)</x:f>
        <x:v>41662.75699999999</x:v>
      </x:c>
      <x:c r="I3" t="str">
        <x:v>South</x:v>
      </x:c>
      <x:c r="J3" s="20" t="n">
        <x:f>SUMIFS(Data!$K$2:$K$501,Data!$C$2:$C$501,I3)</x:f>
        <x:v>81240.72400000003</x:v>
      </x:c>
      <x:c r="K3" s="20" t="n">
        <x:f>SUMIFS(Data!$L$2:$L$501,Data!$C$2:$C$501,I3)</x:f>
        <x:v>29553.003999999997</x:v>
      </x:c>
    </x:row>
    <x:row r="4">
      <x:c r="A4" s="18" t="n">
        <x:v>46082</x:v>
      </x:c>
      <x:c r="B4" s="20" t="n">
        <x:f>SUMIFS(Data!$K$2:$K$501,Data!$B$2:$B$501,"&gt;="&amp;A4,Data!$B$2:$B$501,"&lt;"&amp;A5)</x:f>
        <x:v>60067.70700000002</x:v>
      </x:c>
      <x:c r="C4" s="20" t="n">
        <x:f>SUMIFS(Data!$L$2:$L$501,Data!$B$2:$B$501,"&gt;="&amp;A4,Data!$B$2:$B$501,"&lt;"&amp;A5)</x:f>
        <x:v>19514.017000000007</x:v>
      </x:c>
      <x:c r="E4" t="str">
        <x:v>Accessories</x:v>
      </x:c>
      <x:c r="F4" s="20" t="n">
        <x:f>SUMIFS(Data!$K$2:$K$501,Data!$D$2:$D$501,E4)</x:f>
        <x:v>46822.7635</x:v>
      </x:c>
      <x:c r="G4" s="20" t="n">
        <x:f>SUMIFS(Data!$L$2:$L$501,Data!$D$2:$D$501,E4)</x:f>
        <x:v>22483.4935</x:v>
      </x:c>
      <x:c r="I4" t="str">
        <x:v>Northeast</x:v>
      </x:c>
      <x:c r="J4" s="20" t="n">
        <x:f>SUMIFS(Data!$K$2:$K$501,Data!$C$2:$C$501,I4)</x:f>
        <x:v>86070.77500000004</x:v>
      </x:c>
      <x:c r="K4" s="20" t="n">
        <x:f>SUMIFS(Data!$L$2:$L$501,Data!$C$2:$C$501,I4)</x:f>
        <x:v>27336.715000000007</x:v>
      </x:c>
    </x:row>
    <x:row r="5">
      <x:c r="A5" s="18" t="n">
        <x:v>46113</x:v>
      </x:c>
      <x:c r="B5" s="20" t="n">
        <x:f>SUMIFS(Data!$K$2:$K$501,Data!$B$2:$B$501,"&gt;="&amp;A5,Data!$B$2:$B$501,"&lt;"&amp;A6)</x:f>
        <x:v>56070.830500000004</x:v>
      </x:c>
      <x:c r="C5" s="20" t="n">
        <x:f>SUMIFS(Data!$L$2:$L$501,Data!$B$2:$B$501,"&gt;="&amp;A5,Data!$B$2:$B$501,"&lt;"&amp;A6)</x:f>
        <x:v>19377.9305</x:v>
      </x:c>
      <x:c r="E5" t="str">
        <x:v>Home</x:v>
      </x:c>
      <x:c r="F5" s="20" t="n">
        <x:f>SUMIFS(Data!$K$2:$K$501,Data!$D$2:$D$501,E5)</x:f>
        <x:v>64054.88849999998</x:v>
      </x:c>
      <x:c r="G5" s="20" t="n">
        <x:f>SUMIFS(Data!$L$2:$L$501,Data!$D$2:$D$501,E5)</x:f>
        <x:v>24953.758499999993</x:v>
      </x:c>
      <x:c r="I5" t="str">
        <x:v>Midwest</x:v>
      </x:c>
      <x:c r="J5" s="20" t="n">
        <x:f>SUMIFS(Data!$K$2:$K$501,Data!$C$2:$C$501,I5)</x:f>
        <x:v>56825.1755</x:v>
      </x:c>
      <x:c r="K5" s="20" t="n">
        <x:f>SUMIFS(Data!$L$2:$L$501,Data!$C$2:$C$501,I5)</x:f>
        <x:v>18643.075500000003</x:v>
      </x:c>
    </x:row>
    <x:row r="6">
      <x:c r="A6" s="18" t="n">
        <x:v>46143</x:v>
      </x:c>
      <x:c r="B6" s="20" t="n">
        <x:f>SUMIFS(Data!$K$2:$K$501,Data!$B$2:$B$501,"&gt;="&amp;A6,Data!$B$2:$B$501,"&lt;"&amp;A7)</x:f>
        <x:v>38260.51249999999</x:v>
      </x:c>
      <x:c r="C6" s="20" t="n">
        <x:f>SUMIFS(Data!$L$2:$L$501,Data!$B$2:$B$501,"&gt;="&amp;A6,Data!$B$2:$B$501,"&lt;"&amp;A7)</x:f>
        <x:v>13247.3225</x:v>
      </x:c>
      <x:c r="I6" t="str">
        <x:v>North</x:v>
      </x:c>
      <x:c r="J6" s="20" t="n">
        <x:f>SUMIFS(Data!$K$2:$K$501,Data!$C$2:$C$501,I6)</x:f>
        <x:v>42707.11199999999</x:v>
      </x:c>
      <x:c r="K6" s="20" t="n">
        <x:f>SUMIFS(Data!$L$2:$L$501,Data!$C$2:$C$501,I6)</x:f>
        <x:v>15167.721999999996</x:v>
      </x:c>
    </x:row>
    <x:row r="7">
      <x:c r="A7" s="18" t="n">
        <x:v>46174</x:v>
      </x:c>
      <x:c r="B7" s="20" t="n">
        <x:f>SUMIFS(Data!$K$2:$K$501,Data!$B$2:$B$501,"&gt;="&amp;A7,Data!$B$2:$B$501,"&lt;"&amp;A8)</x:f>
        <x:v>54774.68499999998</x:v>
      </x:c>
      <x:c r="C7" s="20" t="n">
        <x:f>SUMIFS(Data!$L$2:$L$501,Data!$B$2:$B$501,"&gt;="&amp;A7,Data!$B$2:$B$501,"&lt;"&amp;A8)</x:f>
        <x:v>18706.284999999996</x:v>
      </x:c>
    </x:row>
    <x:row r="8">
      <x:c r="A8" s="18" t="n">
        <x:v>46204</x:v>
      </x:c>
      <x:c r="B8" s="20" t="n">
        <x:f>SUMIFS(Data!$K$2:$K$501,Data!$B$2:$B$501,"&gt;="&amp;A8,Data!$B$2:$B$501,"&lt;"&amp;A9)</x:f>
        <x:v>61062.3875</x:v>
      </x:c>
      <x:c r="C8" s="20" t="n">
        <x:f>SUMIFS(Data!$L$2:$L$501,Data!$B$2:$B$501,"&gt;="&amp;A8,Data!$B$2:$B$501,"&lt;"&amp;A9)</x:f>
        <x:v>19373.597499999996</x:v>
      </x:c>
    </x:row>
    <x:row r="9">
      <x:c r="A9" s="18" t="n">
        <x:v>46235</x:v>
      </x:c>
      <x:c r="B9" s="20" t="n">
        <x:f>SUMIFS(Data!$K$2:$K$501,Data!$B$2:$B$501,"&gt;="&amp;A9,Data!$B$2:$B$501,"&lt;"&amp;DATE(2026,9,1))</x:f>
        <x:v>69186.8875</x:v>
      </x:c>
      <x:c r="C9" s="20" t="n">
        <x:f>SUMIFS(Data!$L$2:$L$501,Data!$B$2:$B$501,"&gt;="&amp;A9,Data!$B$2:$B$501,"&lt;"&amp;DATE(2026,9,1))</x:f>
        <x:v>23758.267499999987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72" hidden="0" customWidth="1"/>
  </x:cols>
  <x:sheetData>
    <x:row r="1">
      <x:c r="A1" s="182" t="str">
        <x:v>HOW TO TURN THIS INTO A PORTFOLIO PROJECT</x:v>
      </x:c>
      <x:c r="B1" s="182"/>
      <x:c r="C1" s="182"/>
      <x:c r="D1" s="182"/>
      <x:c r="E1" s="182"/>
      <x:c r="F1" s="182"/>
      <x:c r="G1" s="182"/>
      <x:c r="H1" s="182"/>
    </x:row>
    <x:row r="2">
      <x:c r="A2" s="182"/>
      <x:c r="B2" s="182"/>
      <x:c r="C2" s="182"/>
      <x:c r="D2" s="182"/>
      <x:c r="E2" s="182"/>
      <x:c r="F2" s="182"/>
      <x:c r="G2" s="182"/>
      <x:c r="H2" s="182"/>
    </x:row>
    <x:row r="4" ht="28" customHeight="1">
      <x:c r="A4" s="5" t="str">
        <x:v>Step</x:v>
      </x:c>
      <x:c r="B4" s="5" t="str">
        <x:v>What to do</x:v>
      </x:c>
    </x:row>
    <x:row r="5" ht="28" customHeight="1">
      <x:c r="A5" t="str">
        <x:v>1</x:v>
      </x:c>
      <x:c r="B5" s="186" t="str">
        <x:v>Study the Data sheet and understand each field.</x:v>
      </x:c>
    </x:row>
    <x:row r="6" ht="28" customHeight="1">
      <x:c r="A6" t="str">
        <x:v>2</x:v>
      </x:c>
      <x:c r="B6" s="186" t="str">
        <x:v>Practice cleaning: duplicates, blanks, dates and inconsistent text.</x:v>
      </x:c>
    </x:row>
    <x:row r="7" ht="28" customHeight="1">
      <x:c r="A7" t="str">
        <x:v>3</x:v>
      </x:c>
      <x:c r="B7" s="186" t="str">
        <x:v>Review the Revenue, Profit and Margin formulas.</x:v>
      </x:c>
    </x:row>
    <x:row r="8" ht="28" customHeight="1">
      <x:c r="A8" t="str">
        <x:v>4</x:v>
      </x:c>
      <x:c r="B8" s="186" t="str">
        <x:v>Open Dashboard and study the KPI cards and charts.</x:v>
      </x:c>
    </x:row>
    <x:row r="9" ht="28" customHeight="1">
      <x:c r="A9" t="str">
        <x:v>5</x:v>
      </x:c>
      <x:c r="B9" s="186" t="str">
        <x:v>Write 3–5 real business insights based on the data.</x:v>
      </x:c>
    </x:row>
    <x:row r="10" ht="28" customHeight="1">
      <x:c r="A10" t="str">
        <x:v>6</x:v>
      </x:c>
      <x:c r="B10" s="186" t="str">
        <x:v>Take dashboard screenshots for your Upwork Project Catalog.</x:v>
      </x:c>
    </x:row>
    <x:row r="11" ht="28" customHeight="1">
      <x:c r="A11" t="str">
        <x:v>7</x:v>
      </x:c>
      <x:c r="B11" s="186" t="str">
        <x:v>Explain the case as: Problem → Process → Dashboard → Insights → Recommendation.</x:v>
      </x:c>
    </x:row>
  </x:sheetData>
  <x:mergeCells>
    <x:mergeCell ref="A1:H2"/>
  </x:mergeCells>
  <x:pageMargins left="0.7" right="0.7" top="0.75" bottom="0.75" header="0.3" footer="0.3"/>
</x:worksheet>
</file>