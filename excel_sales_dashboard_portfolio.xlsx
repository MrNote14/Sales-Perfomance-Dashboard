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apha\Downloads\"/>
    </mc:Choice>
  </mc:AlternateContent>
  <xr:revisionPtr revIDLastSave="0" documentId="13_ncr:1_{80F40CBB-3E14-4721-8027-20B2C604D487}" xr6:coauthVersionLast="47" xr6:coauthVersionMax="47" xr10:uidLastSave="{00000000-0000-0000-0000-000000000000}"/>
  <bookViews>
    <workbookView xWindow="-120" yWindow="-120" windowWidth="20730" windowHeight="11040" tabRatio="721" activeTab="2" xr2:uid="{00000000-000D-0000-FFFF-FFFF00000000}"/>
  </bookViews>
  <sheets>
    <sheet name="Data" sheetId="1" r:id="rId1"/>
    <sheet name="Dashboard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2" l="1"/>
  <c r="L501" i="1"/>
  <c r="M501" i="1" s="1"/>
  <c r="K501" i="1"/>
  <c r="K500" i="1"/>
  <c r="L500" i="1" s="1"/>
  <c r="M500" i="1" s="1"/>
  <c r="K499" i="1"/>
  <c r="L499" i="1" s="1"/>
  <c r="M499" i="1" s="1"/>
  <c r="L498" i="1"/>
  <c r="M498" i="1" s="1"/>
  <c r="K498" i="1"/>
  <c r="L497" i="1"/>
  <c r="M497" i="1" s="1"/>
  <c r="K497" i="1"/>
  <c r="L496" i="1"/>
  <c r="M496" i="1" s="1"/>
  <c r="K496" i="1"/>
  <c r="M495" i="1"/>
  <c r="L495" i="1"/>
  <c r="K495" i="1"/>
  <c r="K494" i="1"/>
  <c r="L494" i="1" s="1"/>
  <c r="M494" i="1" s="1"/>
  <c r="L493" i="1"/>
  <c r="M493" i="1" s="1"/>
  <c r="K493" i="1"/>
  <c r="M492" i="1"/>
  <c r="L492" i="1"/>
  <c r="K492" i="1"/>
  <c r="K491" i="1"/>
  <c r="L491" i="1" s="1"/>
  <c r="M491" i="1" s="1"/>
  <c r="L490" i="1"/>
  <c r="M490" i="1" s="1"/>
  <c r="K490" i="1"/>
  <c r="M489" i="1"/>
  <c r="L489" i="1"/>
  <c r="K489" i="1"/>
  <c r="L488" i="1"/>
  <c r="M488" i="1" s="1"/>
  <c r="K488" i="1"/>
  <c r="K487" i="1"/>
  <c r="L487" i="1" s="1"/>
  <c r="M487" i="1" s="1"/>
  <c r="K486" i="1"/>
  <c r="L486" i="1" s="1"/>
  <c r="M486" i="1" s="1"/>
  <c r="L485" i="1"/>
  <c r="M485" i="1" s="1"/>
  <c r="K485" i="1"/>
  <c r="K484" i="1"/>
  <c r="L484" i="1" s="1"/>
  <c r="M484" i="1" s="1"/>
  <c r="K483" i="1"/>
  <c r="L483" i="1" s="1"/>
  <c r="M483" i="1" s="1"/>
  <c r="L482" i="1"/>
  <c r="M482" i="1" s="1"/>
  <c r="K482" i="1"/>
  <c r="M481" i="1"/>
  <c r="L481" i="1"/>
  <c r="K481" i="1"/>
  <c r="K480" i="1"/>
  <c r="L480" i="1" s="1"/>
  <c r="M480" i="1" s="1"/>
  <c r="K479" i="1"/>
  <c r="L479" i="1" s="1"/>
  <c r="M479" i="1" s="1"/>
  <c r="K478" i="1"/>
  <c r="L478" i="1" s="1"/>
  <c r="M478" i="1" s="1"/>
  <c r="K477" i="1"/>
  <c r="L477" i="1" s="1"/>
  <c r="M477" i="1" s="1"/>
  <c r="K476" i="1"/>
  <c r="L476" i="1" s="1"/>
  <c r="M476" i="1" s="1"/>
  <c r="K475" i="1"/>
  <c r="L475" i="1" s="1"/>
  <c r="M475" i="1" s="1"/>
  <c r="K474" i="1"/>
  <c r="L474" i="1" s="1"/>
  <c r="M474" i="1" s="1"/>
  <c r="M473" i="1"/>
  <c r="L473" i="1"/>
  <c r="K473" i="1"/>
  <c r="L472" i="1"/>
  <c r="M472" i="1" s="1"/>
  <c r="K472" i="1"/>
  <c r="K471" i="1"/>
  <c r="L471" i="1" s="1"/>
  <c r="M471" i="1" s="1"/>
  <c r="K470" i="1"/>
  <c r="L470" i="1" s="1"/>
  <c r="M470" i="1" s="1"/>
  <c r="L469" i="1"/>
  <c r="M469" i="1" s="1"/>
  <c r="K469" i="1"/>
  <c r="K468" i="1"/>
  <c r="L468" i="1" s="1"/>
  <c r="M468" i="1" s="1"/>
  <c r="K467" i="1"/>
  <c r="L467" i="1" s="1"/>
  <c r="M467" i="1" s="1"/>
  <c r="L466" i="1"/>
  <c r="M466" i="1" s="1"/>
  <c r="K466" i="1"/>
  <c r="L465" i="1"/>
  <c r="M465" i="1" s="1"/>
  <c r="K465" i="1"/>
  <c r="L464" i="1"/>
  <c r="M464" i="1" s="1"/>
  <c r="K464" i="1"/>
  <c r="M463" i="1"/>
  <c r="L463" i="1"/>
  <c r="K463" i="1"/>
  <c r="K462" i="1"/>
  <c r="L462" i="1" s="1"/>
  <c r="M462" i="1" s="1"/>
  <c r="L461" i="1"/>
  <c r="M461" i="1" s="1"/>
  <c r="K461" i="1"/>
  <c r="M460" i="1"/>
  <c r="L460" i="1"/>
  <c r="K460" i="1"/>
  <c r="K459" i="1"/>
  <c r="L459" i="1" s="1"/>
  <c r="M459" i="1" s="1"/>
  <c r="L458" i="1"/>
  <c r="M458" i="1" s="1"/>
  <c r="K458" i="1"/>
  <c r="M457" i="1"/>
  <c r="L457" i="1"/>
  <c r="K457" i="1"/>
  <c r="L456" i="1"/>
  <c r="M456" i="1" s="1"/>
  <c r="K456" i="1"/>
  <c r="K455" i="1"/>
  <c r="L455" i="1" s="1"/>
  <c r="M455" i="1" s="1"/>
  <c r="K454" i="1"/>
  <c r="L454" i="1" s="1"/>
  <c r="M454" i="1" s="1"/>
  <c r="L453" i="1"/>
  <c r="M453" i="1" s="1"/>
  <c r="K453" i="1"/>
  <c r="K452" i="1"/>
  <c r="L452" i="1" s="1"/>
  <c r="M452" i="1" s="1"/>
  <c r="K451" i="1"/>
  <c r="L451" i="1" s="1"/>
  <c r="M451" i="1" s="1"/>
  <c r="L450" i="1"/>
  <c r="M450" i="1" s="1"/>
  <c r="K450" i="1"/>
  <c r="M449" i="1"/>
  <c r="L449" i="1"/>
  <c r="K449" i="1"/>
  <c r="K448" i="1"/>
  <c r="L448" i="1" s="1"/>
  <c r="M448" i="1" s="1"/>
  <c r="K447" i="1"/>
  <c r="L447" i="1" s="1"/>
  <c r="M447" i="1" s="1"/>
  <c r="K446" i="1"/>
  <c r="L446" i="1" s="1"/>
  <c r="M446" i="1" s="1"/>
  <c r="K445" i="1"/>
  <c r="L445" i="1" s="1"/>
  <c r="M445" i="1" s="1"/>
  <c r="K444" i="1"/>
  <c r="L444" i="1" s="1"/>
  <c r="M444" i="1" s="1"/>
  <c r="K443" i="1"/>
  <c r="L443" i="1" s="1"/>
  <c r="M443" i="1" s="1"/>
  <c r="K442" i="1"/>
  <c r="L442" i="1" s="1"/>
  <c r="M442" i="1" s="1"/>
  <c r="M441" i="1"/>
  <c r="L441" i="1"/>
  <c r="K441" i="1"/>
  <c r="L440" i="1"/>
  <c r="M440" i="1" s="1"/>
  <c r="K440" i="1"/>
  <c r="K439" i="1"/>
  <c r="L439" i="1" s="1"/>
  <c r="M439" i="1" s="1"/>
  <c r="K438" i="1"/>
  <c r="L438" i="1" s="1"/>
  <c r="M438" i="1" s="1"/>
  <c r="L437" i="1"/>
  <c r="M437" i="1" s="1"/>
  <c r="K437" i="1"/>
  <c r="K436" i="1"/>
  <c r="L436" i="1" s="1"/>
  <c r="M436" i="1" s="1"/>
  <c r="K435" i="1"/>
  <c r="L435" i="1" s="1"/>
  <c r="M435" i="1" s="1"/>
  <c r="L434" i="1"/>
  <c r="M434" i="1" s="1"/>
  <c r="K434" i="1"/>
  <c r="L433" i="1"/>
  <c r="M433" i="1" s="1"/>
  <c r="K433" i="1"/>
  <c r="L432" i="1"/>
  <c r="M432" i="1" s="1"/>
  <c r="K432" i="1"/>
  <c r="M431" i="1"/>
  <c r="L431" i="1"/>
  <c r="K431" i="1"/>
  <c r="K430" i="1"/>
  <c r="L430" i="1" s="1"/>
  <c r="M430" i="1" s="1"/>
  <c r="L429" i="1"/>
  <c r="M429" i="1" s="1"/>
  <c r="K429" i="1"/>
  <c r="M428" i="1"/>
  <c r="L428" i="1"/>
  <c r="K428" i="1"/>
  <c r="K427" i="1"/>
  <c r="L427" i="1" s="1"/>
  <c r="M427" i="1" s="1"/>
  <c r="L426" i="1"/>
  <c r="M426" i="1" s="1"/>
  <c r="K426" i="1"/>
  <c r="M425" i="1"/>
  <c r="L425" i="1"/>
  <c r="K425" i="1"/>
  <c r="L424" i="1"/>
  <c r="M424" i="1" s="1"/>
  <c r="K424" i="1"/>
  <c r="K423" i="1"/>
  <c r="L423" i="1" s="1"/>
  <c r="M423" i="1" s="1"/>
  <c r="K422" i="1"/>
  <c r="L422" i="1" s="1"/>
  <c r="M422" i="1" s="1"/>
  <c r="L421" i="1"/>
  <c r="M421" i="1" s="1"/>
  <c r="K421" i="1"/>
  <c r="K420" i="1"/>
  <c r="L420" i="1" s="1"/>
  <c r="M420" i="1" s="1"/>
  <c r="K419" i="1"/>
  <c r="L419" i="1" s="1"/>
  <c r="M419" i="1" s="1"/>
  <c r="L418" i="1"/>
  <c r="M418" i="1" s="1"/>
  <c r="K418" i="1"/>
  <c r="M417" i="1"/>
  <c r="L417" i="1"/>
  <c r="K417" i="1"/>
  <c r="K416" i="1"/>
  <c r="L416" i="1" s="1"/>
  <c r="M416" i="1" s="1"/>
  <c r="K415" i="1"/>
  <c r="L415" i="1" s="1"/>
  <c r="M415" i="1" s="1"/>
  <c r="K414" i="1"/>
  <c r="L414" i="1" s="1"/>
  <c r="M414" i="1" s="1"/>
  <c r="K413" i="1"/>
  <c r="L413" i="1" s="1"/>
  <c r="M413" i="1" s="1"/>
  <c r="K412" i="1"/>
  <c r="L412" i="1" s="1"/>
  <c r="M412" i="1" s="1"/>
  <c r="K411" i="1"/>
  <c r="L411" i="1" s="1"/>
  <c r="M411" i="1" s="1"/>
  <c r="K410" i="1"/>
  <c r="L410" i="1" s="1"/>
  <c r="M410" i="1" s="1"/>
  <c r="M409" i="1"/>
  <c r="L409" i="1"/>
  <c r="K409" i="1"/>
  <c r="L408" i="1"/>
  <c r="M408" i="1" s="1"/>
  <c r="K408" i="1"/>
  <c r="K407" i="1"/>
  <c r="L407" i="1" s="1"/>
  <c r="M407" i="1" s="1"/>
  <c r="K406" i="1"/>
  <c r="L406" i="1" s="1"/>
  <c r="M406" i="1" s="1"/>
  <c r="L405" i="1"/>
  <c r="M405" i="1" s="1"/>
  <c r="K405" i="1"/>
  <c r="K404" i="1"/>
  <c r="L404" i="1" s="1"/>
  <c r="M404" i="1" s="1"/>
  <c r="K403" i="1"/>
  <c r="L403" i="1" s="1"/>
  <c r="M403" i="1" s="1"/>
  <c r="L402" i="1"/>
  <c r="M402" i="1" s="1"/>
  <c r="K402" i="1"/>
  <c r="L401" i="1"/>
  <c r="M401" i="1" s="1"/>
  <c r="K401" i="1"/>
  <c r="L400" i="1"/>
  <c r="M400" i="1" s="1"/>
  <c r="K400" i="1"/>
  <c r="M399" i="1"/>
  <c r="L399" i="1"/>
  <c r="K399" i="1"/>
  <c r="K398" i="1"/>
  <c r="L398" i="1" s="1"/>
  <c r="M398" i="1" s="1"/>
  <c r="L397" i="1"/>
  <c r="M397" i="1" s="1"/>
  <c r="K397" i="1"/>
  <c r="M396" i="1"/>
  <c r="L396" i="1"/>
  <c r="K396" i="1"/>
  <c r="K395" i="1"/>
  <c r="L395" i="1" s="1"/>
  <c r="M395" i="1" s="1"/>
  <c r="L394" i="1"/>
  <c r="M394" i="1" s="1"/>
  <c r="K394" i="1"/>
  <c r="M393" i="1"/>
  <c r="L393" i="1"/>
  <c r="K393" i="1"/>
  <c r="L392" i="1"/>
  <c r="M392" i="1" s="1"/>
  <c r="K392" i="1"/>
  <c r="K391" i="1"/>
  <c r="L391" i="1" s="1"/>
  <c r="M391" i="1" s="1"/>
  <c r="K390" i="1"/>
  <c r="L390" i="1" s="1"/>
  <c r="M390" i="1" s="1"/>
  <c r="L389" i="1"/>
  <c r="M389" i="1" s="1"/>
  <c r="K389" i="1"/>
  <c r="K388" i="1"/>
  <c r="L388" i="1" s="1"/>
  <c r="M388" i="1" s="1"/>
  <c r="K387" i="1"/>
  <c r="L387" i="1" s="1"/>
  <c r="M387" i="1" s="1"/>
  <c r="L386" i="1"/>
  <c r="M386" i="1" s="1"/>
  <c r="K386" i="1"/>
  <c r="M385" i="1"/>
  <c r="L385" i="1"/>
  <c r="K385" i="1"/>
  <c r="K384" i="1"/>
  <c r="L384" i="1" s="1"/>
  <c r="M384" i="1" s="1"/>
  <c r="K383" i="1"/>
  <c r="L383" i="1" s="1"/>
  <c r="M383" i="1" s="1"/>
  <c r="K382" i="1"/>
  <c r="L382" i="1" s="1"/>
  <c r="M382" i="1" s="1"/>
  <c r="K381" i="1"/>
  <c r="L381" i="1" s="1"/>
  <c r="M381" i="1" s="1"/>
  <c r="K380" i="1"/>
  <c r="L380" i="1" s="1"/>
  <c r="M380" i="1" s="1"/>
  <c r="K379" i="1"/>
  <c r="L379" i="1" s="1"/>
  <c r="M379" i="1" s="1"/>
  <c r="K378" i="1"/>
  <c r="L378" i="1" s="1"/>
  <c r="M378" i="1" s="1"/>
  <c r="M377" i="1"/>
  <c r="L377" i="1"/>
  <c r="K377" i="1"/>
  <c r="L376" i="1"/>
  <c r="M376" i="1" s="1"/>
  <c r="K376" i="1"/>
  <c r="K375" i="1"/>
  <c r="L375" i="1" s="1"/>
  <c r="M375" i="1" s="1"/>
  <c r="K374" i="1"/>
  <c r="L374" i="1" s="1"/>
  <c r="M374" i="1" s="1"/>
  <c r="L373" i="1"/>
  <c r="M373" i="1" s="1"/>
  <c r="K373" i="1"/>
  <c r="K372" i="1"/>
  <c r="L372" i="1" s="1"/>
  <c r="M372" i="1" s="1"/>
  <c r="K371" i="1"/>
  <c r="L371" i="1" s="1"/>
  <c r="M371" i="1" s="1"/>
  <c r="L370" i="1"/>
  <c r="M370" i="1" s="1"/>
  <c r="K370" i="1"/>
  <c r="L369" i="1"/>
  <c r="M369" i="1" s="1"/>
  <c r="K369" i="1"/>
  <c r="L368" i="1"/>
  <c r="M368" i="1" s="1"/>
  <c r="K368" i="1"/>
  <c r="M367" i="1"/>
  <c r="L367" i="1"/>
  <c r="K367" i="1"/>
  <c r="K366" i="1"/>
  <c r="L366" i="1" s="1"/>
  <c r="M366" i="1" s="1"/>
  <c r="L365" i="1"/>
  <c r="M365" i="1" s="1"/>
  <c r="K365" i="1"/>
  <c r="M364" i="1"/>
  <c r="L364" i="1"/>
  <c r="K364" i="1"/>
  <c r="K363" i="1"/>
  <c r="L363" i="1" s="1"/>
  <c r="M363" i="1" s="1"/>
  <c r="L362" i="1"/>
  <c r="M362" i="1" s="1"/>
  <c r="K362" i="1"/>
  <c r="M361" i="1"/>
  <c r="L361" i="1"/>
  <c r="K361" i="1"/>
  <c r="L360" i="1"/>
  <c r="M360" i="1" s="1"/>
  <c r="K360" i="1"/>
  <c r="K359" i="1"/>
  <c r="L359" i="1" s="1"/>
  <c r="M359" i="1" s="1"/>
  <c r="M358" i="1"/>
  <c r="K358" i="1"/>
  <c r="L358" i="1" s="1"/>
  <c r="L357" i="1"/>
  <c r="M357" i="1" s="1"/>
  <c r="K357" i="1"/>
  <c r="K356" i="1"/>
  <c r="L356" i="1" s="1"/>
  <c r="M356" i="1" s="1"/>
  <c r="L355" i="1"/>
  <c r="M355" i="1" s="1"/>
  <c r="K355" i="1"/>
  <c r="L354" i="1"/>
  <c r="M354" i="1" s="1"/>
  <c r="K354" i="1"/>
  <c r="M353" i="1"/>
  <c r="L353" i="1"/>
  <c r="K353" i="1"/>
  <c r="K352" i="1"/>
  <c r="L352" i="1" s="1"/>
  <c r="M352" i="1" s="1"/>
  <c r="K351" i="1"/>
  <c r="L351" i="1" s="1"/>
  <c r="M351" i="1" s="1"/>
  <c r="K350" i="1"/>
  <c r="L350" i="1" s="1"/>
  <c r="M350" i="1" s="1"/>
  <c r="K349" i="1"/>
  <c r="L349" i="1" s="1"/>
  <c r="M349" i="1" s="1"/>
  <c r="K348" i="1"/>
  <c r="L348" i="1" s="1"/>
  <c r="M348" i="1" s="1"/>
  <c r="K347" i="1"/>
  <c r="L347" i="1" s="1"/>
  <c r="M347" i="1" s="1"/>
  <c r="K346" i="1"/>
  <c r="L346" i="1" s="1"/>
  <c r="M346" i="1" s="1"/>
  <c r="M345" i="1"/>
  <c r="L345" i="1"/>
  <c r="K345" i="1"/>
  <c r="L344" i="1"/>
  <c r="M344" i="1" s="1"/>
  <c r="K344" i="1"/>
  <c r="K343" i="1"/>
  <c r="L343" i="1" s="1"/>
  <c r="M343" i="1" s="1"/>
  <c r="K342" i="1"/>
  <c r="L342" i="1" s="1"/>
  <c r="M342" i="1" s="1"/>
  <c r="L341" i="1"/>
  <c r="M341" i="1" s="1"/>
  <c r="K341" i="1"/>
  <c r="K340" i="1"/>
  <c r="L340" i="1" s="1"/>
  <c r="M340" i="1" s="1"/>
  <c r="K339" i="1"/>
  <c r="L339" i="1" s="1"/>
  <c r="M339" i="1" s="1"/>
  <c r="L338" i="1"/>
  <c r="M338" i="1" s="1"/>
  <c r="K338" i="1"/>
  <c r="L337" i="1"/>
  <c r="M337" i="1" s="1"/>
  <c r="K337" i="1"/>
  <c r="L336" i="1"/>
  <c r="M336" i="1" s="1"/>
  <c r="K336" i="1"/>
  <c r="M335" i="1"/>
  <c r="L335" i="1"/>
  <c r="K335" i="1"/>
  <c r="K334" i="1"/>
  <c r="L334" i="1" s="1"/>
  <c r="M334" i="1" s="1"/>
  <c r="L333" i="1"/>
  <c r="M333" i="1" s="1"/>
  <c r="K333" i="1"/>
  <c r="M332" i="1"/>
  <c r="L332" i="1"/>
  <c r="K332" i="1"/>
  <c r="K331" i="1"/>
  <c r="L331" i="1" s="1"/>
  <c r="M331" i="1" s="1"/>
  <c r="L330" i="1"/>
  <c r="M330" i="1" s="1"/>
  <c r="K330" i="1"/>
  <c r="M329" i="1"/>
  <c r="L329" i="1"/>
  <c r="K329" i="1"/>
  <c r="L328" i="1"/>
  <c r="M328" i="1" s="1"/>
  <c r="K328" i="1"/>
  <c r="K327" i="1"/>
  <c r="L327" i="1" s="1"/>
  <c r="M327" i="1" s="1"/>
  <c r="M326" i="1"/>
  <c r="K326" i="1"/>
  <c r="L326" i="1" s="1"/>
  <c r="L325" i="1"/>
  <c r="M325" i="1" s="1"/>
  <c r="K325" i="1"/>
  <c r="K324" i="1"/>
  <c r="L324" i="1" s="1"/>
  <c r="M324" i="1" s="1"/>
  <c r="L323" i="1"/>
  <c r="M323" i="1" s="1"/>
  <c r="K323" i="1"/>
  <c r="L322" i="1"/>
  <c r="M322" i="1" s="1"/>
  <c r="K322" i="1"/>
  <c r="M321" i="1"/>
  <c r="L321" i="1"/>
  <c r="K321" i="1"/>
  <c r="K320" i="1"/>
  <c r="L320" i="1" s="1"/>
  <c r="M320" i="1" s="1"/>
  <c r="K319" i="1"/>
  <c r="L319" i="1" s="1"/>
  <c r="M319" i="1" s="1"/>
  <c r="K318" i="1"/>
  <c r="L318" i="1" s="1"/>
  <c r="M318" i="1" s="1"/>
  <c r="K317" i="1"/>
  <c r="L317" i="1" s="1"/>
  <c r="M317" i="1" s="1"/>
  <c r="K316" i="1"/>
  <c r="L316" i="1" s="1"/>
  <c r="M316" i="1" s="1"/>
  <c r="K315" i="1"/>
  <c r="L315" i="1" s="1"/>
  <c r="M315" i="1" s="1"/>
  <c r="K314" i="1"/>
  <c r="L314" i="1" s="1"/>
  <c r="M314" i="1" s="1"/>
  <c r="M313" i="1"/>
  <c r="L313" i="1"/>
  <c r="K313" i="1"/>
  <c r="L312" i="1"/>
  <c r="M312" i="1" s="1"/>
  <c r="K312" i="1"/>
  <c r="K311" i="1"/>
  <c r="L311" i="1" s="1"/>
  <c r="M311" i="1" s="1"/>
  <c r="K310" i="1"/>
  <c r="L310" i="1" s="1"/>
  <c r="M310" i="1" s="1"/>
  <c r="L309" i="1"/>
  <c r="M309" i="1" s="1"/>
  <c r="K309" i="1"/>
  <c r="K308" i="1"/>
  <c r="L308" i="1" s="1"/>
  <c r="M308" i="1" s="1"/>
  <c r="K307" i="1"/>
  <c r="L307" i="1" s="1"/>
  <c r="M307" i="1" s="1"/>
  <c r="L306" i="1"/>
  <c r="M306" i="1" s="1"/>
  <c r="K306" i="1"/>
  <c r="L305" i="1"/>
  <c r="M305" i="1" s="1"/>
  <c r="K305" i="1"/>
  <c r="L304" i="1"/>
  <c r="M304" i="1" s="1"/>
  <c r="K304" i="1"/>
  <c r="M303" i="1"/>
  <c r="L303" i="1"/>
  <c r="K303" i="1"/>
  <c r="K302" i="1"/>
  <c r="L302" i="1" s="1"/>
  <c r="M302" i="1" s="1"/>
  <c r="L301" i="1"/>
  <c r="M301" i="1" s="1"/>
  <c r="K301" i="1"/>
  <c r="M300" i="1"/>
  <c r="L300" i="1"/>
  <c r="K300" i="1"/>
  <c r="K299" i="1"/>
  <c r="L299" i="1" s="1"/>
  <c r="M299" i="1" s="1"/>
  <c r="L298" i="1"/>
  <c r="M298" i="1" s="1"/>
  <c r="K298" i="1"/>
  <c r="M297" i="1"/>
  <c r="L297" i="1"/>
  <c r="K297" i="1"/>
  <c r="L296" i="1"/>
  <c r="M296" i="1" s="1"/>
  <c r="K296" i="1"/>
  <c r="K295" i="1"/>
  <c r="L295" i="1" s="1"/>
  <c r="M295" i="1" s="1"/>
  <c r="M294" i="1"/>
  <c r="K294" i="1"/>
  <c r="L294" i="1" s="1"/>
  <c r="L293" i="1"/>
  <c r="M293" i="1" s="1"/>
  <c r="K293" i="1"/>
  <c r="K292" i="1"/>
  <c r="L292" i="1" s="1"/>
  <c r="M292" i="1" s="1"/>
  <c r="L291" i="1"/>
  <c r="M291" i="1" s="1"/>
  <c r="K291" i="1"/>
  <c r="L290" i="1"/>
  <c r="M290" i="1" s="1"/>
  <c r="K290" i="1"/>
  <c r="M289" i="1"/>
  <c r="L289" i="1"/>
  <c r="K289" i="1"/>
  <c r="K288" i="1"/>
  <c r="L288" i="1" s="1"/>
  <c r="M288" i="1" s="1"/>
  <c r="K287" i="1"/>
  <c r="L287" i="1" s="1"/>
  <c r="M287" i="1" s="1"/>
  <c r="K286" i="1"/>
  <c r="L286" i="1" s="1"/>
  <c r="M286" i="1" s="1"/>
  <c r="K285" i="1"/>
  <c r="L285" i="1" s="1"/>
  <c r="M285" i="1" s="1"/>
  <c r="K284" i="1"/>
  <c r="L284" i="1" s="1"/>
  <c r="M284" i="1" s="1"/>
  <c r="K283" i="1"/>
  <c r="L283" i="1" s="1"/>
  <c r="M283" i="1" s="1"/>
  <c r="K282" i="1"/>
  <c r="L282" i="1" s="1"/>
  <c r="M282" i="1" s="1"/>
  <c r="M281" i="1"/>
  <c r="L281" i="1"/>
  <c r="K281" i="1"/>
  <c r="L280" i="1"/>
  <c r="M280" i="1" s="1"/>
  <c r="K280" i="1"/>
  <c r="K279" i="1"/>
  <c r="L279" i="1" s="1"/>
  <c r="M279" i="1" s="1"/>
  <c r="K278" i="1"/>
  <c r="L278" i="1" s="1"/>
  <c r="M278" i="1" s="1"/>
  <c r="L277" i="1"/>
  <c r="M277" i="1" s="1"/>
  <c r="K277" i="1"/>
  <c r="K276" i="1"/>
  <c r="L276" i="1" s="1"/>
  <c r="M276" i="1" s="1"/>
  <c r="K275" i="1"/>
  <c r="L275" i="1" s="1"/>
  <c r="M275" i="1" s="1"/>
  <c r="L274" i="1"/>
  <c r="M274" i="1" s="1"/>
  <c r="K274" i="1"/>
  <c r="L273" i="1"/>
  <c r="M273" i="1" s="1"/>
  <c r="K273" i="1"/>
  <c r="L272" i="1"/>
  <c r="M272" i="1" s="1"/>
  <c r="K272" i="1"/>
  <c r="M271" i="1"/>
  <c r="L271" i="1"/>
  <c r="K271" i="1"/>
  <c r="K270" i="1"/>
  <c r="L270" i="1" s="1"/>
  <c r="M270" i="1" s="1"/>
  <c r="L269" i="1"/>
  <c r="M269" i="1" s="1"/>
  <c r="K269" i="1"/>
  <c r="M268" i="1"/>
  <c r="L268" i="1"/>
  <c r="K268" i="1"/>
  <c r="K267" i="1"/>
  <c r="L267" i="1" s="1"/>
  <c r="M267" i="1" s="1"/>
  <c r="L266" i="1"/>
  <c r="M266" i="1" s="1"/>
  <c r="K266" i="1"/>
  <c r="M265" i="1"/>
  <c r="L265" i="1"/>
  <c r="K265" i="1"/>
  <c r="L264" i="1"/>
  <c r="M264" i="1" s="1"/>
  <c r="K264" i="1"/>
  <c r="K263" i="1"/>
  <c r="L263" i="1" s="1"/>
  <c r="M263" i="1" s="1"/>
  <c r="M262" i="1"/>
  <c r="K262" i="1"/>
  <c r="L262" i="1" s="1"/>
  <c r="L261" i="1"/>
  <c r="M261" i="1" s="1"/>
  <c r="K261" i="1"/>
  <c r="K260" i="1"/>
  <c r="L260" i="1" s="1"/>
  <c r="M260" i="1" s="1"/>
  <c r="L259" i="1"/>
  <c r="M259" i="1" s="1"/>
  <c r="K259" i="1"/>
  <c r="L258" i="1"/>
  <c r="M258" i="1" s="1"/>
  <c r="K258" i="1"/>
  <c r="M257" i="1"/>
  <c r="L257" i="1"/>
  <c r="K257" i="1"/>
  <c r="K256" i="1"/>
  <c r="L256" i="1" s="1"/>
  <c r="M256" i="1" s="1"/>
  <c r="K255" i="1"/>
  <c r="L255" i="1" s="1"/>
  <c r="M255" i="1" s="1"/>
  <c r="K254" i="1"/>
  <c r="L254" i="1" s="1"/>
  <c r="M254" i="1" s="1"/>
  <c r="K253" i="1"/>
  <c r="L253" i="1" s="1"/>
  <c r="M253" i="1" s="1"/>
  <c r="K252" i="1"/>
  <c r="L252" i="1" s="1"/>
  <c r="M252" i="1" s="1"/>
  <c r="K251" i="1"/>
  <c r="L251" i="1" s="1"/>
  <c r="M251" i="1" s="1"/>
  <c r="K250" i="1"/>
  <c r="L250" i="1" s="1"/>
  <c r="M250" i="1" s="1"/>
  <c r="M249" i="1"/>
  <c r="L249" i="1"/>
  <c r="K249" i="1"/>
  <c r="L248" i="1"/>
  <c r="M248" i="1" s="1"/>
  <c r="K248" i="1"/>
  <c r="K247" i="1"/>
  <c r="L247" i="1" s="1"/>
  <c r="M247" i="1" s="1"/>
  <c r="K246" i="1"/>
  <c r="L246" i="1" s="1"/>
  <c r="M246" i="1" s="1"/>
  <c r="L245" i="1"/>
  <c r="M245" i="1" s="1"/>
  <c r="K245" i="1"/>
  <c r="K244" i="1"/>
  <c r="L244" i="1" s="1"/>
  <c r="M244" i="1" s="1"/>
  <c r="K243" i="1"/>
  <c r="L243" i="1" s="1"/>
  <c r="M243" i="1" s="1"/>
  <c r="L242" i="1"/>
  <c r="M242" i="1" s="1"/>
  <c r="K242" i="1"/>
  <c r="L241" i="1"/>
  <c r="M241" i="1" s="1"/>
  <c r="K241" i="1"/>
  <c r="L240" i="1"/>
  <c r="M240" i="1" s="1"/>
  <c r="K240" i="1"/>
  <c r="M239" i="1"/>
  <c r="L239" i="1"/>
  <c r="K239" i="1"/>
  <c r="K238" i="1"/>
  <c r="L238" i="1" s="1"/>
  <c r="M238" i="1" s="1"/>
  <c r="L237" i="1"/>
  <c r="M237" i="1" s="1"/>
  <c r="K237" i="1"/>
  <c r="M236" i="1"/>
  <c r="L236" i="1"/>
  <c r="K236" i="1"/>
  <c r="K235" i="1"/>
  <c r="L235" i="1" s="1"/>
  <c r="M235" i="1" s="1"/>
  <c r="L234" i="1"/>
  <c r="M234" i="1" s="1"/>
  <c r="K234" i="1"/>
  <c r="M233" i="1"/>
  <c r="L233" i="1"/>
  <c r="K233" i="1"/>
  <c r="L232" i="1"/>
  <c r="M232" i="1" s="1"/>
  <c r="K232" i="1"/>
  <c r="K231" i="1"/>
  <c r="L231" i="1" s="1"/>
  <c r="M231" i="1" s="1"/>
  <c r="M230" i="1"/>
  <c r="K230" i="1"/>
  <c r="L230" i="1" s="1"/>
  <c r="L229" i="1"/>
  <c r="M229" i="1" s="1"/>
  <c r="K229" i="1"/>
  <c r="K228" i="1"/>
  <c r="L228" i="1" s="1"/>
  <c r="M228" i="1" s="1"/>
  <c r="L227" i="1"/>
  <c r="M227" i="1" s="1"/>
  <c r="K227" i="1"/>
  <c r="L226" i="1"/>
  <c r="M226" i="1" s="1"/>
  <c r="K226" i="1"/>
  <c r="M225" i="1"/>
  <c r="L225" i="1"/>
  <c r="K225" i="1"/>
  <c r="K224" i="1"/>
  <c r="L224" i="1" s="1"/>
  <c r="M224" i="1" s="1"/>
  <c r="M223" i="1"/>
  <c r="K223" i="1"/>
  <c r="L223" i="1" s="1"/>
  <c r="K222" i="1"/>
  <c r="L222" i="1" s="1"/>
  <c r="M222" i="1" s="1"/>
  <c r="K221" i="1"/>
  <c r="L221" i="1" s="1"/>
  <c r="M221" i="1" s="1"/>
  <c r="K220" i="1"/>
  <c r="L220" i="1" s="1"/>
  <c r="M220" i="1" s="1"/>
  <c r="K219" i="1"/>
  <c r="L219" i="1" s="1"/>
  <c r="M219" i="1" s="1"/>
  <c r="K218" i="1"/>
  <c r="L218" i="1" s="1"/>
  <c r="M218" i="1" s="1"/>
  <c r="M217" i="1"/>
  <c r="L217" i="1"/>
  <c r="K217" i="1"/>
  <c r="L216" i="1"/>
  <c r="M216" i="1" s="1"/>
  <c r="K216" i="1"/>
  <c r="K215" i="1"/>
  <c r="L215" i="1" s="1"/>
  <c r="M215" i="1" s="1"/>
  <c r="K214" i="1"/>
  <c r="L214" i="1" s="1"/>
  <c r="M214" i="1" s="1"/>
  <c r="L213" i="1"/>
  <c r="M213" i="1" s="1"/>
  <c r="K213" i="1"/>
  <c r="K212" i="1"/>
  <c r="L212" i="1" s="1"/>
  <c r="M212" i="1" s="1"/>
  <c r="K211" i="1"/>
  <c r="L211" i="1" s="1"/>
  <c r="M211" i="1" s="1"/>
  <c r="L210" i="1"/>
  <c r="M210" i="1" s="1"/>
  <c r="K210" i="1"/>
  <c r="L209" i="1"/>
  <c r="M209" i="1" s="1"/>
  <c r="K209" i="1"/>
  <c r="L208" i="1"/>
  <c r="M208" i="1" s="1"/>
  <c r="K208" i="1"/>
  <c r="M207" i="1"/>
  <c r="L207" i="1"/>
  <c r="K207" i="1"/>
  <c r="K206" i="1"/>
  <c r="L206" i="1" s="1"/>
  <c r="M206" i="1" s="1"/>
  <c r="L205" i="1"/>
  <c r="M205" i="1" s="1"/>
  <c r="K205" i="1"/>
  <c r="M204" i="1"/>
  <c r="L204" i="1"/>
  <c r="K204" i="1"/>
  <c r="K203" i="1"/>
  <c r="L203" i="1" s="1"/>
  <c r="M203" i="1" s="1"/>
  <c r="L202" i="1"/>
  <c r="M202" i="1" s="1"/>
  <c r="K202" i="1"/>
  <c r="M201" i="1"/>
  <c r="L201" i="1"/>
  <c r="K201" i="1"/>
  <c r="L200" i="1"/>
  <c r="M200" i="1" s="1"/>
  <c r="K200" i="1"/>
  <c r="K199" i="1"/>
  <c r="L199" i="1" s="1"/>
  <c r="M199" i="1" s="1"/>
  <c r="M198" i="1"/>
  <c r="K198" i="1"/>
  <c r="L198" i="1" s="1"/>
  <c r="L197" i="1"/>
  <c r="M197" i="1" s="1"/>
  <c r="K197" i="1"/>
  <c r="K196" i="1"/>
  <c r="L196" i="1" s="1"/>
  <c r="M196" i="1" s="1"/>
  <c r="L195" i="1"/>
  <c r="M195" i="1" s="1"/>
  <c r="K195" i="1"/>
  <c r="L194" i="1"/>
  <c r="M194" i="1" s="1"/>
  <c r="K194" i="1"/>
  <c r="M193" i="1"/>
  <c r="L193" i="1"/>
  <c r="K193" i="1"/>
  <c r="K192" i="1"/>
  <c r="L192" i="1" s="1"/>
  <c r="M192" i="1" s="1"/>
  <c r="M191" i="1"/>
  <c r="K191" i="1"/>
  <c r="L191" i="1" s="1"/>
  <c r="K190" i="1"/>
  <c r="L190" i="1" s="1"/>
  <c r="M190" i="1" s="1"/>
  <c r="K189" i="1"/>
  <c r="L189" i="1" s="1"/>
  <c r="M189" i="1" s="1"/>
  <c r="K188" i="1"/>
  <c r="L188" i="1" s="1"/>
  <c r="M188" i="1" s="1"/>
  <c r="K187" i="1"/>
  <c r="L187" i="1" s="1"/>
  <c r="M187" i="1" s="1"/>
  <c r="K186" i="1"/>
  <c r="L186" i="1" s="1"/>
  <c r="M186" i="1" s="1"/>
  <c r="M185" i="1"/>
  <c r="L185" i="1"/>
  <c r="K185" i="1"/>
  <c r="L184" i="1"/>
  <c r="M184" i="1" s="1"/>
  <c r="K184" i="1"/>
  <c r="K183" i="1"/>
  <c r="L183" i="1" s="1"/>
  <c r="M183" i="1" s="1"/>
  <c r="K182" i="1"/>
  <c r="L182" i="1" s="1"/>
  <c r="M182" i="1" s="1"/>
  <c r="L181" i="1"/>
  <c r="M181" i="1" s="1"/>
  <c r="K181" i="1"/>
  <c r="K180" i="1"/>
  <c r="L180" i="1" s="1"/>
  <c r="M180" i="1" s="1"/>
  <c r="L179" i="1"/>
  <c r="M179" i="1" s="1"/>
  <c r="K179" i="1"/>
  <c r="M178" i="1"/>
  <c r="L178" i="1"/>
  <c r="K178" i="1"/>
  <c r="L177" i="1"/>
  <c r="M177" i="1" s="1"/>
  <c r="K177" i="1"/>
  <c r="K176" i="1"/>
  <c r="L176" i="1" s="1"/>
  <c r="M176" i="1" s="1"/>
  <c r="K175" i="1"/>
  <c r="L175" i="1" s="1"/>
  <c r="M175" i="1" s="1"/>
  <c r="M174" i="1"/>
  <c r="K174" i="1"/>
  <c r="L174" i="1" s="1"/>
  <c r="L173" i="1"/>
  <c r="M173" i="1" s="1"/>
  <c r="K173" i="1"/>
  <c r="K172" i="1"/>
  <c r="L172" i="1" s="1"/>
  <c r="M172" i="1" s="1"/>
  <c r="L171" i="1"/>
  <c r="M171" i="1" s="1"/>
  <c r="K171" i="1"/>
  <c r="M170" i="1"/>
  <c r="L170" i="1"/>
  <c r="K170" i="1"/>
  <c r="L169" i="1"/>
  <c r="M169" i="1" s="1"/>
  <c r="K169" i="1"/>
  <c r="K168" i="1"/>
  <c r="L168" i="1" s="1"/>
  <c r="M168" i="1" s="1"/>
  <c r="K167" i="1"/>
  <c r="L167" i="1" s="1"/>
  <c r="M167" i="1" s="1"/>
  <c r="K166" i="1"/>
  <c r="L166" i="1" s="1"/>
  <c r="M166" i="1" s="1"/>
  <c r="L165" i="1"/>
  <c r="M165" i="1" s="1"/>
  <c r="K165" i="1"/>
  <c r="K164" i="1"/>
  <c r="L164" i="1" s="1"/>
  <c r="M164" i="1" s="1"/>
  <c r="L163" i="1"/>
  <c r="M163" i="1" s="1"/>
  <c r="K163" i="1"/>
  <c r="M162" i="1"/>
  <c r="L162" i="1"/>
  <c r="K162" i="1"/>
  <c r="L161" i="1"/>
  <c r="M161" i="1" s="1"/>
  <c r="K161" i="1"/>
  <c r="K160" i="1"/>
  <c r="L160" i="1" s="1"/>
  <c r="M160" i="1" s="1"/>
  <c r="K159" i="1"/>
  <c r="L159" i="1" s="1"/>
  <c r="M159" i="1" s="1"/>
  <c r="K158" i="1"/>
  <c r="L158" i="1" s="1"/>
  <c r="M158" i="1" s="1"/>
  <c r="L157" i="1"/>
  <c r="M157" i="1" s="1"/>
  <c r="K157" i="1"/>
  <c r="K156" i="1"/>
  <c r="L156" i="1" s="1"/>
  <c r="M156" i="1" s="1"/>
  <c r="L155" i="1"/>
  <c r="M155" i="1" s="1"/>
  <c r="K155" i="1"/>
  <c r="M154" i="1"/>
  <c r="L154" i="1"/>
  <c r="K154" i="1"/>
  <c r="L153" i="1"/>
  <c r="M153" i="1" s="1"/>
  <c r="K153" i="1"/>
  <c r="M152" i="1"/>
  <c r="K152" i="1"/>
  <c r="L152" i="1" s="1"/>
  <c r="K151" i="1"/>
  <c r="L151" i="1" s="1"/>
  <c r="M151" i="1" s="1"/>
  <c r="M150" i="1"/>
  <c r="K150" i="1"/>
  <c r="L150" i="1" s="1"/>
  <c r="L149" i="1"/>
  <c r="M149" i="1" s="1"/>
  <c r="K149" i="1"/>
  <c r="K148" i="1"/>
  <c r="L148" i="1" s="1"/>
  <c r="M148" i="1" s="1"/>
  <c r="L147" i="1"/>
  <c r="M147" i="1" s="1"/>
  <c r="K147" i="1"/>
  <c r="M146" i="1"/>
  <c r="L146" i="1"/>
  <c r="K146" i="1"/>
  <c r="L145" i="1"/>
  <c r="M145" i="1" s="1"/>
  <c r="K145" i="1"/>
  <c r="L144" i="1"/>
  <c r="M144" i="1" s="1"/>
  <c r="K144" i="1"/>
  <c r="M143" i="1"/>
  <c r="K143" i="1"/>
  <c r="L143" i="1" s="1"/>
  <c r="K142" i="1"/>
  <c r="L142" i="1" s="1"/>
  <c r="M142" i="1" s="1"/>
  <c r="K141" i="1"/>
  <c r="L141" i="1" s="1"/>
  <c r="M141" i="1" s="1"/>
  <c r="K140" i="1"/>
  <c r="L140" i="1" s="1"/>
  <c r="M140" i="1" s="1"/>
  <c r="L139" i="1"/>
  <c r="M139" i="1" s="1"/>
  <c r="K139" i="1"/>
  <c r="M138" i="1"/>
  <c r="L138" i="1"/>
  <c r="K138" i="1"/>
  <c r="M137" i="1"/>
  <c r="L137" i="1"/>
  <c r="K137" i="1"/>
  <c r="K136" i="1"/>
  <c r="L136" i="1" s="1"/>
  <c r="M136" i="1" s="1"/>
  <c r="K135" i="1"/>
  <c r="L135" i="1" s="1"/>
  <c r="M135" i="1" s="1"/>
  <c r="M134" i="1"/>
  <c r="K134" i="1"/>
  <c r="L134" i="1" s="1"/>
  <c r="M133" i="1"/>
  <c r="L133" i="1"/>
  <c r="K133" i="1"/>
  <c r="L132" i="1"/>
  <c r="M132" i="1" s="1"/>
  <c r="K132" i="1"/>
  <c r="L131" i="1"/>
  <c r="M131" i="1" s="1"/>
  <c r="K131" i="1"/>
  <c r="M130" i="1"/>
  <c r="L130" i="1"/>
  <c r="K130" i="1"/>
  <c r="K129" i="1"/>
  <c r="L129" i="1" s="1"/>
  <c r="M129" i="1" s="1"/>
  <c r="K128" i="1"/>
  <c r="L128" i="1" s="1"/>
  <c r="M128" i="1" s="1"/>
  <c r="K127" i="1"/>
  <c r="L127" i="1" s="1"/>
  <c r="M127" i="1" s="1"/>
  <c r="K126" i="1"/>
  <c r="L126" i="1" s="1"/>
  <c r="M126" i="1" s="1"/>
  <c r="L125" i="1"/>
  <c r="M125" i="1" s="1"/>
  <c r="K125" i="1"/>
  <c r="L124" i="1"/>
  <c r="M124" i="1" s="1"/>
  <c r="K124" i="1"/>
  <c r="L123" i="1"/>
  <c r="M123" i="1" s="1"/>
  <c r="K123" i="1"/>
  <c r="M122" i="1"/>
  <c r="L122" i="1"/>
  <c r="K122" i="1"/>
  <c r="K121" i="1"/>
  <c r="L121" i="1" s="1"/>
  <c r="M121" i="1" s="1"/>
  <c r="K120" i="1"/>
  <c r="L120" i="1" s="1"/>
  <c r="M120" i="1" s="1"/>
  <c r="K119" i="1"/>
  <c r="L119" i="1" s="1"/>
  <c r="M119" i="1" s="1"/>
  <c r="K118" i="1"/>
  <c r="L118" i="1" s="1"/>
  <c r="M118" i="1" s="1"/>
  <c r="L117" i="1"/>
  <c r="M117" i="1" s="1"/>
  <c r="K117" i="1"/>
  <c r="L116" i="1"/>
  <c r="M116" i="1" s="1"/>
  <c r="K116" i="1"/>
  <c r="L115" i="1"/>
  <c r="M115" i="1" s="1"/>
  <c r="K115" i="1"/>
  <c r="M114" i="1"/>
  <c r="L114" i="1"/>
  <c r="K114" i="1"/>
  <c r="K113" i="1"/>
  <c r="L113" i="1" s="1"/>
  <c r="M113" i="1" s="1"/>
  <c r="K112" i="1"/>
  <c r="L112" i="1" s="1"/>
  <c r="M112" i="1" s="1"/>
  <c r="K111" i="1"/>
  <c r="L111" i="1" s="1"/>
  <c r="M111" i="1" s="1"/>
  <c r="K110" i="1"/>
  <c r="L110" i="1" s="1"/>
  <c r="M110" i="1" s="1"/>
  <c r="L109" i="1"/>
  <c r="M109" i="1" s="1"/>
  <c r="K109" i="1"/>
  <c r="L108" i="1"/>
  <c r="M108" i="1" s="1"/>
  <c r="K108" i="1"/>
  <c r="L107" i="1"/>
  <c r="M107" i="1" s="1"/>
  <c r="K107" i="1"/>
  <c r="M106" i="1"/>
  <c r="L106" i="1"/>
  <c r="K106" i="1"/>
  <c r="K105" i="1"/>
  <c r="L105" i="1" s="1"/>
  <c r="M105" i="1" s="1"/>
  <c r="K104" i="1"/>
  <c r="L104" i="1" s="1"/>
  <c r="M104" i="1" s="1"/>
  <c r="K103" i="1"/>
  <c r="L103" i="1" s="1"/>
  <c r="M103" i="1" s="1"/>
  <c r="K102" i="1"/>
  <c r="L102" i="1" s="1"/>
  <c r="M102" i="1" s="1"/>
  <c r="L101" i="1"/>
  <c r="M101" i="1" s="1"/>
  <c r="K101" i="1"/>
  <c r="L100" i="1"/>
  <c r="M100" i="1" s="1"/>
  <c r="K100" i="1"/>
  <c r="L99" i="1"/>
  <c r="M99" i="1" s="1"/>
  <c r="K99" i="1"/>
  <c r="M98" i="1"/>
  <c r="L98" i="1"/>
  <c r="K98" i="1"/>
  <c r="K97" i="1"/>
  <c r="L97" i="1" s="1"/>
  <c r="M97" i="1" s="1"/>
  <c r="K96" i="1"/>
  <c r="L96" i="1" s="1"/>
  <c r="M96" i="1" s="1"/>
  <c r="K95" i="1"/>
  <c r="L95" i="1" s="1"/>
  <c r="M95" i="1" s="1"/>
  <c r="K94" i="1"/>
  <c r="L94" i="1" s="1"/>
  <c r="M94" i="1" s="1"/>
  <c r="L93" i="1"/>
  <c r="M93" i="1" s="1"/>
  <c r="K93" i="1"/>
  <c r="L92" i="1"/>
  <c r="M92" i="1" s="1"/>
  <c r="K92" i="1"/>
  <c r="L91" i="1"/>
  <c r="M91" i="1" s="1"/>
  <c r="K91" i="1"/>
  <c r="M90" i="1"/>
  <c r="L90" i="1"/>
  <c r="K90" i="1"/>
  <c r="K89" i="1"/>
  <c r="L89" i="1" s="1"/>
  <c r="M89" i="1" s="1"/>
  <c r="K88" i="1"/>
  <c r="L88" i="1" s="1"/>
  <c r="M88" i="1" s="1"/>
  <c r="K87" i="1"/>
  <c r="L87" i="1" s="1"/>
  <c r="M87" i="1" s="1"/>
  <c r="K86" i="1"/>
  <c r="L86" i="1" s="1"/>
  <c r="M86" i="1" s="1"/>
  <c r="L85" i="1"/>
  <c r="M85" i="1" s="1"/>
  <c r="K85" i="1"/>
  <c r="L84" i="1"/>
  <c r="M84" i="1" s="1"/>
  <c r="K84" i="1"/>
  <c r="L83" i="1"/>
  <c r="M83" i="1" s="1"/>
  <c r="K83" i="1"/>
  <c r="M82" i="1"/>
  <c r="L82" i="1"/>
  <c r="K82" i="1"/>
  <c r="K81" i="1"/>
  <c r="L81" i="1" s="1"/>
  <c r="M81" i="1" s="1"/>
  <c r="K80" i="1"/>
  <c r="L80" i="1" s="1"/>
  <c r="M80" i="1" s="1"/>
  <c r="K79" i="1"/>
  <c r="L79" i="1" s="1"/>
  <c r="M79" i="1" s="1"/>
  <c r="K78" i="1"/>
  <c r="L78" i="1" s="1"/>
  <c r="M78" i="1" s="1"/>
  <c r="L77" i="1"/>
  <c r="M77" i="1" s="1"/>
  <c r="K77" i="1"/>
  <c r="L76" i="1"/>
  <c r="M76" i="1" s="1"/>
  <c r="K76" i="1"/>
  <c r="L75" i="1"/>
  <c r="M75" i="1" s="1"/>
  <c r="K75" i="1"/>
  <c r="M74" i="1"/>
  <c r="L74" i="1"/>
  <c r="K74" i="1"/>
  <c r="K73" i="1"/>
  <c r="L73" i="1" s="1"/>
  <c r="M73" i="1" s="1"/>
  <c r="K72" i="1"/>
  <c r="L72" i="1" s="1"/>
  <c r="M72" i="1" s="1"/>
  <c r="K71" i="1"/>
  <c r="L71" i="1" s="1"/>
  <c r="M71" i="1" s="1"/>
  <c r="K70" i="1"/>
  <c r="L70" i="1" s="1"/>
  <c r="M70" i="1" s="1"/>
  <c r="L69" i="1"/>
  <c r="M69" i="1" s="1"/>
  <c r="K69" i="1"/>
  <c r="L68" i="1"/>
  <c r="M68" i="1" s="1"/>
  <c r="K68" i="1"/>
  <c r="L67" i="1"/>
  <c r="M67" i="1" s="1"/>
  <c r="K67" i="1"/>
  <c r="M66" i="1"/>
  <c r="L66" i="1"/>
  <c r="K66" i="1"/>
  <c r="K65" i="1"/>
  <c r="L65" i="1" s="1"/>
  <c r="M65" i="1" s="1"/>
  <c r="K64" i="1"/>
  <c r="L64" i="1" s="1"/>
  <c r="M64" i="1" s="1"/>
  <c r="K63" i="1"/>
  <c r="L63" i="1" s="1"/>
  <c r="M63" i="1" s="1"/>
  <c r="K62" i="1"/>
  <c r="L62" i="1" s="1"/>
  <c r="M62" i="1" s="1"/>
  <c r="L61" i="1"/>
  <c r="M61" i="1" s="1"/>
  <c r="K61" i="1"/>
  <c r="L60" i="1"/>
  <c r="M60" i="1" s="1"/>
  <c r="K60" i="1"/>
  <c r="L59" i="1"/>
  <c r="M59" i="1" s="1"/>
  <c r="K59" i="1"/>
  <c r="M58" i="1"/>
  <c r="L58" i="1"/>
  <c r="K58" i="1"/>
  <c r="K57" i="1"/>
  <c r="L57" i="1" s="1"/>
  <c r="M57" i="1" s="1"/>
  <c r="K56" i="1"/>
  <c r="L56" i="1" s="1"/>
  <c r="M56" i="1" s="1"/>
  <c r="K55" i="1"/>
  <c r="L55" i="1" s="1"/>
  <c r="M55" i="1" s="1"/>
  <c r="K54" i="1"/>
  <c r="L54" i="1" s="1"/>
  <c r="M54" i="1" s="1"/>
  <c r="L53" i="1"/>
  <c r="M53" i="1" s="1"/>
  <c r="K53" i="1"/>
  <c r="L52" i="1"/>
  <c r="M52" i="1" s="1"/>
  <c r="K52" i="1"/>
  <c r="L51" i="1"/>
  <c r="M51" i="1" s="1"/>
  <c r="K51" i="1"/>
  <c r="M50" i="1"/>
  <c r="L50" i="1"/>
  <c r="K50" i="1"/>
  <c r="K49" i="1"/>
  <c r="L49" i="1" s="1"/>
  <c r="M49" i="1" s="1"/>
  <c r="K48" i="1"/>
  <c r="L48" i="1" s="1"/>
  <c r="M48" i="1" s="1"/>
  <c r="K47" i="1"/>
  <c r="L47" i="1" s="1"/>
  <c r="M47" i="1" s="1"/>
  <c r="K46" i="1"/>
  <c r="L46" i="1" s="1"/>
  <c r="M46" i="1" s="1"/>
  <c r="L45" i="1"/>
  <c r="M45" i="1" s="1"/>
  <c r="K45" i="1"/>
  <c r="L44" i="1"/>
  <c r="M44" i="1" s="1"/>
  <c r="K44" i="1"/>
  <c r="L43" i="1"/>
  <c r="M43" i="1" s="1"/>
  <c r="K43" i="1"/>
  <c r="M42" i="1"/>
  <c r="L42" i="1"/>
  <c r="K42" i="1"/>
  <c r="K41" i="1"/>
  <c r="L41" i="1" s="1"/>
  <c r="M41" i="1" s="1"/>
  <c r="K40" i="1"/>
  <c r="L40" i="1" s="1"/>
  <c r="M40" i="1" s="1"/>
  <c r="K39" i="1"/>
  <c r="L39" i="1" s="1"/>
  <c r="M39" i="1" s="1"/>
  <c r="K38" i="1"/>
  <c r="L38" i="1" s="1"/>
  <c r="M38" i="1" s="1"/>
  <c r="L37" i="1"/>
  <c r="M37" i="1" s="1"/>
  <c r="K37" i="1"/>
  <c r="L36" i="1"/>
  <c r="M36" i="1" s="1"/>
  <c r="K36" i="1"/>
  <c r="L35" i="1"/>
  <c r="M35" i="1" s="1"/>
  <c r="K35" i="1"/>
  <c r="M34" i="1"/>
  <c r="L34" i="1"/>
  <c r="K34" i="1"/>
  <c r="K33" i="1"/>
  <c r="L33" i="1" s="1"/>
  <c r="M33" i="1" s="1"/>
  <c r="K32" i="1"/>
  <c r="L32" i="1" s="1"/>
  <c r="M32" i="1" s="1"/>
  <c r="K31" i="1"/>
  <c r="L31" i="1" s="1"/>
  <c r="M31" i="1" s="1"/>
  <c r="K30" i="1"/>
  <c r="L30" i="1" s="1"/>
  <c r="M30" i="1" s="1"/>
  <c r="L29" i="1"/>
  <c r="M29" i="1" s="1"/>
  <c r="K29" i="1"/>
  <c r="L28" i="1"/>
  <c r="M28" i="1" s="1"/>
  <c r="K28" i="1"/>
  <c r="L27" i="1"/>
  <c r="M27" i="1" s="1"/>
  <c r="K27" i="1"/>
  <c r="M26" i="1"/>
  <c r="L26" i="1"/>
  <c r="K26" i="1"/>
  <c r="K25" i="1"/>
  <c r="L25" i="1" s="1"/>
  <c r="M25" i="1" s="1"/>
  <c r="K24" i="1"/>
  <c r="K23" i="1"/>
  <c r="L23" i="1" s="1"/>
  <c r="M23" i="1" s="1"/>
  <c r="K22" i="1"/>
  <c r="L22" i="1" s="1"/>
  <c r="M22" i="1" s="1"/>
  <c r="L21" i="1"/>
  <c r="M21" i="1" s="1"/>
  <c r="K21" i="1"/>
  <c r="L20" i="1"/>
  <c r="M20" i="1" s="1"/>
  <c r="K20" i="1"/>
  <c r="L19" i="1"/>
  <c r="M19" i="1" s="1"/>
  <c r="K19" i="1"/>
  <c r="M18" i="1"/>
  <c r="L18" i="1"/>
  <c r="K18" i="1"/>
  <c r="K17" i="1"/>
  <c r="L17" i="1" s="1"/>
  <c r="M17" i="1" s="1"/>
  <c r="K16" i="1"/>
  <c r="L16" i="1" s="1"/>
  <c r="M16" i="1" s="1"/>
  <c r="K15" i="1"/>
  <c r="L15" i="1" s="1"/>
  <c r="M15" i="1" s="1"/>
  <c r="K14" i="1"/>
  <c r="L14" i="1" s="1"/>
  <c r="M14" i="1" s="1"/>
  <c r="L13" i="1"/>
  <c r="K13" i="1"/>
  <c r="L12" i="1"/>
  <c r="M12" i="1" s="1"/>
  <c r="K12" i="1"/>
  <c r="L11" i="1"/>
  <c r="M11" i="1" s="1"/>
  <c r="K11" i="1"/>
  <c r="M10" i="1"/>
  <c r="L10" i="1"/>
  <c r="K10" i="1"/>
  <c r="K9" i="1"/>
  <c r="B3" i="3" s="1"/>
  <c r="K8" i="1"/>
  <c r="L8" i="1" s="1"/>
  <c r="M8" i="1" s="1"/>
  <c r="K7" i="1"/>
  <c r="K6" i="1"/>
  <c r="L5" i="1"/>
  <c r="K5" i="1"/>
  <c r="L4" i="1"/>
  <c r="K4" i="1"/>
  <c r="L3" i="1"/>
  <c r="K3" i="1"/>
  <c r="M2" i="1"/>
  <c r="L2" i="1"/>
  <c r="K2" i="1"/>
  <c r="J5" i="3" l="1"/>
  <c r="B5" i="3"/>
  <c r="M3" i="1"/>
  <c r="B8" i="3"/>
  <c r="F5" i="3"/>
  <c r="L9" i="1"/>
  <c r="L6" i="1"/>
  <c r="B4" i="3"/>
  <c r="C8" i="3"/>
  <c r="B7" i="3"/>
  <c r="A5" i="2"/>
  <c r="F4" i="3"/>
  <c r="M4" i="1"/>
  <c r="L7" i="1"/>
  <c r="B9" i="3"/>
  <c r="F3" i="3"/>
  <c r="C2" i="3"/>
  <c r="G2" i="3"/>
  <c r="C7" i="3"/>
  <c r="K2" i="3"/>
  <c r="D5" i="2"/>
  <c r="J3" i="3"/>
  <c r="C9" i="3"/>
  <c r="G3" i="3"/>
  <c r="B6" i="3"/>
  <c r="C6" i="3"/>
  <c r="K3" i="3"/>
  <c r="J6" i="3"/>
  <c r="J4" i="3"/>
  <c r="B2" i="3"/>
  <c r="F2" i="3"/>
  <c r="M5" i="1"/>
  <c r="M13" i="1"/>
  <c r="L24" i="1"/>
  <c r="J2" i="3"/>
  <c r="C4" i="3" l="1"/>
  <c r="M7" i="1"/>
  <c r="K5" i="3"/>
  <c r="C5" i="3"/>
  <c r="M6" i="1"/>
  <c r="C3" i="3"/>
  <c r="M9" i="1"/>
  <c r="K6" i="3"/>
  <c r="M24" i="1"/>
  <c r="G4" i="3"/>
  <c r="G5" i="3"/>
  <c r="G5" i="2"/>
  <c r="K4" i="3"/>
</calcChain>
</file>

<file path=xl/sharedStrings.xml><?xml version="1.0" encoding="utf-8"?>
<sst xmlns="http://schemas.openxmlformats.org/spreadsheetml/2006/main" count="2539" uniqueCount="549">
  <si>
    <t>Order ID</t>
  </si>
  <si>
    <t>Date</t>
  </si>
  <si>
    <t>Region</t>
  </si>
  <si>
    <t>Category</t>
  </si>
  <si>
    <t>Product</t>
  </si>
  <si>
    <t>Salesperson</t>
  </si>
  <si>
    <t>Quantity</t>
  </si>
  <si>
    <t>Unit Price</t>
  </si>
  <si>
    <t>Discount</t>
  </si>
  <si>
    <t>Unit Cost</t>
  </si>
  <si>
    <t>Revenue</t>
  </si>
  <si>
    <t>Profit</t>
  </si>
  <si>
    <t>Margin</t>
  </si>
  <si>
    <t>ORD-00001</t>
  </si>
  <si>
    <t>Southeast</t>
  </si>
  <si>
    <t>Accessories</t>
  </si>
  <si>
    <t>USB-C Hub</t>
  </si>
  <si>
    <t>Elisa</t>
  </si>
  <si>
    <t>ORD-00002</t>
  </si>
  <si>
    <t>Northeast</t>
  </si>
  <si>
    <t>Technology</t>
  </si>
  <si>
    <t>Laptop Pro</t>
  </si>
  <si>
    <t>Bruno</t>
  </si>
  <si>
    <t>ORD-00003</t>
  </si>
  <si>
    <t>Home</t>
  </si>
  <si>
    <t>Air Purifier</t>
  </si>
  <si>
    <t>ORD-00004</t>
  </si>
  <si>
    <t>South</t>
  </si>
  <si>
    <t>Ana</t>
  </si>
  <si>
    <t>ORD-00005</t>
  </si>
  <si>
    <t>Midwest</t>
  </si>
  <si>
    <t>ORD-00006</t>
  </si>
  <si>
    <t>Webcam HD</t>
  </si>
  <si>
    <t>Carla</t>
  </si>
  <si>
    <t>ORD-00007</t>
  </si>
  <si>
    <t>Wireless Mouse</t>
  </si>
  <si>
    <t>ORD-00008</t>
  </si>
  <si>
    <t>Monitor 27</t>
  </si>
  <si>
    <t>ORD-00009</t>
  </si>
  <si>
    <t>Office</t>
  </si>
  <si>
    <t>Desk Lamp</t>
  </si>
  <si>
    <t>ORD-00010</t>
  </si>
  <si>
    <t>ORD-00011</t>
  </si>
  <si>
    <t>Felipe</t>
  </si>
  <si>
    <t>ORD-00012</t>
  </si>
  <si>
    <t>Coffee Maker</t>
  </si>
  <si>
    <t>ORD-00013</t>
  </si>
  <si>
    <t>Diego</t>
  </si>
  <si>
    <t>ORD-00014</t>
  </si>
  <si>
    <t>ORD-00015</t>
  </si>
  <si>
    <t>ORD-00016</t>
  </si>
  <si>
    <t>ORD-00017</t>
  </si>
  <si>
    <t>ORD-00018</t>
  </si>
  <si>
    <t>ORD-00019</t>
  </si>
  <si>
    <t>Standing Desk</t>
  </si>
  <si>
    <t>ORD-00020</t>
  </si>
  <si>
    <t>Smart Lamp</t>
  </si>
  <si>
    <t>ORD-00021</t>
  </si>
  <si>
    <t>ORD-00022</t>
  </si>
  <si>
    <t>ORD-00023</t>
  </si>
  <si>
    <t>North</t>
  </si>
  <si>
    <t>ORD-00024</t>
  </si>
  <si>
    <t>ORD-00025</t>
  </si>
  <si>
    <t>ORD-00026</t>
  </si>
  <si>
    <t>ORD-00027</t>
  </si>
  <si>
    <t>Office Chair</t>
  </si>
  <si>
    <t>ORD-00028</t>
  </si>
  <si>
    <t>ORD-00029</t>
  </si>
  <si>
    <t>ORD-00030</t>
  </si>
  <si>
    <t>ORD-00031</t>
  </si>
  <si>
    <t>ORD-00032</t>
  </si>
  <si>
    <t>ORD-00033</t>
  </si>
  <si>
    <t>ORD-00034</t>
  </si>
  <si>
    <t>ORD-00035</t>
  </si>
  <si>
    <t>ORD-00036</t>
  </si>
  <si>
    <t>ORD-00037</t>
  </si>
  <si>
    <t>ORD-00038</t>
  </si>
  <si>
    <t>ORD-00039</t>
  </si>
  <si>
    <t>ORD-00040</t>
  </si>
  <si>
    <t>ORD-00041</t>
  </si>
  <si>
    <t>ORD-00042</t>
  </si>
  <si>
    <t>ORD-00043</t>
  </si>
  <si>
    <t>Backpack</t>
  </si>
  <si>
    <t>ORD-00044</t>
  </si>
  <si>
    <t>ORD-00045</t>
  </si>
  <si>
    <t>ORD-00046</t>
  </si>
  <si>
    <t>ORD-00047</t>
  </si>
  <si>
    <t>ORD-00048</t>
  </si>
  <si>
    <t>ORD-00049</t>
  </si>
  <si>
    <t>ORD-00050</t>
  </si>
  <si>
    <t>ORD-00051</t>
  </si>
  <si>
    <t>ORD-00052</t>
  </si>
  <si>
    <t>ORD-00053</t>
  </si>
  <si>
    <t>ORD-00054</t>
  </si>
  <si>
    <t>ORD-00055</t>
  </si>
  <si>
    <t>ORD-00056</t>
  </si>
  <si>
    <t>ORD-00057</t>
  </si>
  <si>
    <t>ORD-00058</t>
  </si>
  <si>
    <t>ORD-00059</t>
  </si>
  <si>
    <t>ORD-00060</t>
  </si>
  <si>
    <t>ORD-00061</t>
  </si>
  <si>
    <t>ORD-00062</t>
  </si>
  <si>
    <t>ORD-00063</t>
  </si>
  <si>
    <t>ORD-00064</t>
  </si>
  <si>
    <t>ORD-00065</t>
  </si>
  <si>
    <t>ORD-00066</t>
  </si>
  <si>
    <t>ORD-00067</t>
  </si>
  <si>
    <t>ORD-00068</t>
  </si>
  <si>
    <t>ORD-00069</t>
  </si>
  <si>
    <t>ORD-00070</t>
  </si>
  <si>
    <t>ORD-00071</t>
  </si>
  <si>
    <t>ORD-00072</t>
  </si>
  <si>
    <t>ORD-00073</t>
  </si>
  <si>
    <t>ORD-00074</t>
  </si>
  <si>
    <t>ORD-00075</t>
  </si>
  <si>
    <t>ORD-00076</t>
  </si>
  <si>
    <t>ORD-00077</t>
  </si>
  <si>
    <t>ORD-00078</t>
  </si>
  <si>
    <t>ORD-00079</t>
  </si>
  <si>
    <t>ORD-00080</t>
  </si>
  <si>
    <t>ORD-00081</t>
  </si>
  <si>
    <t>ORD-00082</t>
  </si>
  <si>
    <t>ORD-00083</t>
  </si>
  <si>
    <t>ORD-00084</t>
  </si>
  <si>
    <t>ORD-00085</t>
  </si>
  <si>
    <t>ORD-00086</t>
  </si>
  <si>
    <t>ORD-00087</t>
  </si>
  <si>
    <t>ORD-00088</t>
  </si>
  <si>
    <t>ORD-00089</t>
  </si>
  <si>
    <t>ORD-00090</t>
  </si>
  <si>
    <t>ORD-00091</t>
  </si>
  <si>
    <t>ORD-00092</t>
  </si>
  <si>
    <t>ORD-00093</t>
  </si>
  <si>
    <t>ORD-00094</t>
  </si>
  <si>
    <t>ORD-00095</t>
  </si>
  <si>
    <t>ORD-00096</t>
  </si>
  <si>
    <t>ORD-00097</t>
  </si>
  <si>
    <t>ORD-00098</t>
  </si>
  <si>
    <t>ORD-00099</t>
  </si>
  <si>
    <t>ORD-00100</t>
  </si>
  <si>
    <t>ORD-00101</t>
  </si>
  <si>
    <t>ORD-00102</t>
  </si>
  <si>
    <t>ORD-00103</t>
  </si>
  <si>
    <t>ORD-00104</t>
  </si>
  <si>
    <t>ORD-00105</t>
  </si>
  <si>
    <t>ORD-00106</t>
  </si>
  <si>
    <t>ORD-00107</t>
  </si>
  <si>
    <t>ORD-00108</t>
  </si>
  <si>
    <t>ORD-00109</t>
  </si>
  <si>
    <t>ORD-00110</t>
  </si>
  <si>
    <t>ORD-00111</t>
  </si>
  <si>
    <t>ORD-00112</t>
  </si>
  <si>
    <t>ORD-00113</t>
  </si>
  <si>
    <t>ORD-00114</t>
  </si>
  <si>
    <t>ORD-00115</t>
  </si>
  <si>
    <t>ORD-00116</t>
  </si>
  <si>
    <t>ORD-00117</t>
  </si>
  <si>
    <t>ORD-00118</t>
  </si>
  <si>
    <t>ORD-00119</t>
  </si>
  <si>
    <t>ORD-00120</t>
  </si>
  <si>
    <t>ORD-00121</t>
  </si>
  <si>
    <t>ORD-00122</t>
  </si>
  <si>
    <t>ORD-00123</t>
  </si>
  <si>
    <t>ORD-00124</t>
  </si>
  <si>
    <t>ORD-00125</t>
  </si>
  <si>
    <t>ORD-00126</t>
  </si>
  <si>
    <t>ORD-00127</t>
  </si>
  <si>
    <t>ORD-00128</t>
  </si>
  <si>
    <t>ORD-00129</t>
  </si>
  <si>
    <t>ORD-00130</t>
  </si>
  <si>
    <t>ORD-00131</t>
  </si>
  <si>
    <t>ORD-00132</t>
  </si>
  <si>
    <t>ORD-00133</t>
  </si>
  <si>
    <t>ORD-00134</t>
  </si>
  <si>
    <t>ORD-00135</t>
  </si>
  <si>
    <t>ORD-00136</t>
  </si>
  <si>
    <t>ORD-00137</t>
  </si>
  <si>
    <t>ORD-00138</t>
  </si>
  <si>
    <t>ORD-00139</t>
  </si>
  <si>
    <t>ORD-00140</t>
  </si>
  <si>
    <t>ORD-00141</t>
  </si>
  <si>
    <t>ORD-00142</t>
  </si>
  <si>
    <t>ORD-00143</t>
  </si>
  <si>
    <t>ORD-00144</t>
  </si>
  <si>
    <t>ORD-00145</t>
  </si>
  <si>
    <t>ORD-00146</t>
  </si>
  <si>
    <t>ORD-00147</t>
  </si>
  <si>
    <t>ORD-00148</t>
  </si>
  <si>
    <t>ORD-00149</t>
  </si>
  <si>
    <t>ORD-00150</t>
  </si>
  <si>
    <t>ORD-00151</t>
  </si>
  <si>
    <t>ORD-00152</t>
  </si>
  <si>
    <t>ORD-00153</t>
  </si>
  <si>
    <t>ORD-00154</t>
  </si>
  <si>
    <t>ORD-00155</t>
  </si>
  <si>
    <t>ORD-00156</t>
  </si>
  <si>
    <t>ORD-00157</t>
  </si>
  <si>
    <t>ORD-00158</t>
  </si>
  <si>
    <t>ORD-00159</t>
  </si>
  <si>
    <t>ORD-00160</t>
  </si>
  <si>
    <t>ORD-00161</t>
  </si>
  <si>
    <t>ORD-00162</t>
  </si>
  <si>
    <t>ORD-00163</t>
  </si>
  <si>
    <t>ORD-00164</t>
  </si>
  <si>
    <t>ORD-00165</t>
  </si>
  <si>
    <t>ORD-00166</t>
  </si>
  <si>
    <t>ORD-00167</t>
  </si>
  <si>
    <t>ORD-00168</t>
  </si>
  <si>
    <t>ORD-00169</t>
  </si>
  <si>
    <t>ORD-00170</t>
  </si>
  <si>
    <t>ORD-00171</t>
  </si>
  <si>
    <t>ORD-00172</t>
  </si>
  <si>
    <t>ORD-00173</t>
  </si>
  <si>
    <t>ORD-00174</t>
  </si>
  <si>
    <t>ORD-00175</t>
  </si>
  <si>
    <t>ORD-00176</t>
  </si>
  <si>
    <t>ORD-00177</t>
  </si>
  <si>
    <t>ORD-00178</t>
  </si>
  <si>
    <t>ORD-00179</t>
  </si>
  <si>
    <t>ORD-00180</t>
  </si>
  <si>
    <t>ORD-00181</t>
  </si>
  <si>
    <t>ORD-00182</t>
  </si>
  <si>
    <t>ORD-00183</t>
  </si>
  <si>
    <t>ORD-00184</t>
  </si>
  <si>
    <t>ORD-00185</t>
  </si>
  <si>
    <t>ORD-00186</t>
  </si>
  <si>
    <t>ORD-00187</t>
  </si>
  <si>
    <t>ORD-00188</t>
  </si>
  <si>
    <t>ORD-00189</t>
  </si>
  <si>
    <t>ORD-00190</t>
  </si>
  <si>
    <t>ORD-00191</t>
  </si>
  <si>
    <t>ORD-00192</t>
  </si>
  <si>
    <t>ORD-00193</t>
  </si>
  <si>
    <t>ORD-00194</t>
  </si>
  <si>
    <t>ORD-00195</t>
  </si>
  <si>
    <t>ORD-00196</t>
  </si>
  <si>
    <t>ORD-00197</t>
  </si>
  <si>
    <t>ORD-00198</t>
  </si>
  <si>
    <t>ORD-00199</t>
  </si>
  <si>
    <t>ORD-00200</t>
  </si>
  <si>
    <t>ORD-00201</t>
  </si>
  <si>
    <t>ORD-00202</t>
  </si>
  <si>
    <t>ORD-00203</t>
  </si>
  <si>
    <t>ORD-00204</t>
  </si>
  <si>
    <t>ORD-00205</t>
  </si>
  <si>
    <t>ORD-00206</t>
  </si>
  <si>
    <t>ORD-00207</t>
  </si>
  <si>
    <t>ORD-00208</t>
  </si>
  <si>
    <t>ORD-00209</t>
  </si>
  <si>
    <t>ORD-00210</t>
  </si>
  <si>
    <t>ORD-00211</t>
  </si>
  <si>
    <t>ORD-00212</t>
  </si>
  <si>
    <t>ORD-00213</t>
  </si>
  <si>
    <t>ORD-00214</t>
  </si>
  <si>
    <t>ORD-00215</t>
  </si>
  <si>
    <t>ORD-00216</t>
  </si>
  <si>
    <t>ORD-00217</t>
  </si>
  <si>
    <t>ORD-00218</t>
  </si>
  <si>
    <t>ORD-00219</t>
  </si>
  <si>
    <t>ORD-00220</t>
  </si>
  <si>
    <t>ORD-00221</t>
  </si>
  <si>
    <t>ORD-00222</t>
  </si>
  <si>
    <t>ORD-00223</t>
  </si>
  <si>
    <t>ORD-00224</t>
  </si>
  <si>
    <t>ORD-00225</t>
  </si>
  <si>
    <t>ORD-00226</t>
  </si>
  <si>
    <t>ORD-00227</t>
  </si>
  <si>
    <t>ORD-00228</t>
  </si>
  <si>
    <t>ORD-00229</t>
  </si>
  <si>
    <t>ORD-00230</t>
  </si>
  <si>
    <t>ORD-00231</t>
  </si>
  <si>
    <t>ORD-00232</t>
  </si>
  <si>
    <t>ORD-00233</t>
  </si>
  <si>
    <t>ORD-00234</t>
  </si>
  <si>
    <t>ORD-00235</t>
  </si>
  <si>
    <t>ORD-00236</t>
  </si>
  <si>
    <t>ORD-00237</t>
  </si>
  <si>
    <t>ORD-00238</t>
  </si>
  <si>
    <t>ORD-00239</t>
  </si>
  <si>
    <t>ORD-00240</t>
  </si>
  <si>
    <t>ORD-00241</t>
  </si>
  <si>
    <t>ORD-00242</t>
  </si>
  <si>
    <t>ORD-00243</t>
  </si>
  <si>
    <t>ORD-00244</t>
  </si>
  <si>
    <t>ORD-00245</t>
  </si>
  <si>
    <t>ORD-00246</t>
  </si>
  <si>
    <t>ORD-00247</t>
  </si>
  <si>
    <t>ORD-00248</t>
  </si>
  <si>
    <t>ORD-00249</t>
  </si>
  <si>
    <t>ORD-00250</t>
  </si>
  <si>
    <t>ORD-00251</t>
  </si>
  <si>
    <t>ORD-00252</t>
  </si>
  <si>
    <t>ORD-00253</t>
  </si>
  <si>
    <t>ORD-00254</t>
  </si>
  <si>
    <t>ORD-00255</t>
  </si>
  <si>
    <t>ORD-00256</t>
  </si>
  <si>
    <t>ORD-00257</t>
  </si>
  <si>
    <t>ORD-00258</t>
  </si>
  <si>
    <t>ORD-00259</t>
  </si>
  <si>
    <t>ORD-00260</t>
  </si>
  <si>
    <t>ORD-00261</t>
  </si>
  <si>
    <t>ORD-00262</t>
  </si>
  <si>
    <t>ORD-00263</t>
  </si>
  <si>
    <t>ORD-00264</t>
  </si>
  <si>
    <t>ORD-00265</t>
  </si>
  <si>
    <t>ORD-00266</t>
  </si>
  <si>
    <t>ORD-00267</t>
  </si>
  <si>
    <t>ORD-00268</t>
  </si>
  <si>
    <t>ORD-00269</t>
  </si>
  <si>
    <t>ORD-00270</t>
  </si>
  <si>
    <t>ORD-00271</t>
  </si>
  <si>
    <t>ORD-00272</t>
  </si>
  <si>
    <t>ORD-00273</t>
  </si>
  <si>
    <t>ORD-00274</t>
  </si>
  <si>
    <t>ORD-00275</t>
  </si>
  <si>
    <t>ORD-00276</t>
  </si>
  <si>
    <t>ORD-00277</t>
  </si>
  <si>
    <t>ORD-00278</t>
  </si>
  <si>
    <t>ORD-00279</t>
  </si>
  <si>
    <t>ORD-00280</t>
  </si>
  <si>
    <t>ORD-00281</t>
  </si>
  <si>
    <t>ORD-00282</t>
  </si>
  <si>
    <t>ORD-00283</t>
  </si>
  <si>
    <t>ORD-00284</t>
  </si>
  <si>
    <t>ORD-00285</t>
  </si>
  <si>
    <t>ORD-00286</t>
  </si>
  <si>
    <t>ORD-00287</t>
  </si>
  <si>
    <t>ORD-00288</t>
  </si>
  <si>
    <t>ORD-00289</t>
  </si>
  <si>
    <t>ORD-00290</t>
  </si>
  <si>
    <t>ORD-00291</t>
  </si>
  <si>
    <t>ORD-00292</t>
  </si>
  <si>
    <t>ORD-00293</t>
  </si>
  <si>
    <t>ORD-00294</t>
  </si>
  <si>
    <t>ORD-00295</t>
  </si>
  <si>
    <t>ORD-00296</t>
  </si>
  <si>
    <t>ORD-00297</t>
  </si>
  <si>
    <t>ORD-00298</t>
  </si>
  <si>
    <t>ORD-00299</t>
  </si>
  <si>
    <t>ORD-00300</t>
  </si>
  <si>
    <t>ORD-00301</t>
  </si>
  <si>
    <t>ORD-00302</t>
  </si>
  <si>
    <t>ORD-00303</t>
  </si>
  <si>
    <t>ORD-00304</t>
  </si>
  <si>
    <t>ORD-00305</t>
  </si>
  <si>
    <t>ORD-00306</t>
  </si>
  <si>
    <t>ORD-00307</t>
  </si>
  <si>
    <t>ORD-00308</t>
  </si>
  <si>
    <t>ORD-00309</t>
  </si>
  <si>
    <t>ORD-00310</t>
  </si>
  <si>
    <t>ORD-00311</t>
  </si>
  <si>
    <t>ORD-00312</t>
  </si>
  <si>
    <t>ORD-00313</t>
  </si>
  <si>
    <t>ORD-00314</t>
  </si>
  <si>
    <t>ORD-00315</t>
  </si>
  <si>
    <t>ORD-00316</t>
  </si>
  <si>
    <t>ORD-00317</t>
  </si>
  <si>
    <t>ORD-00318</t>
  </si>
  <si>
    <t>ORD-00319</t>
  </si>
  <si>
    <t>ORD-00320</t>
  </si>
  <si>
    <t>ORD-00321</t>
  </si>
  <si>
    <t>ORD-00322</t>
  </si>
  <si>
    <t>ORD-00323</t>
  </si>
  <si>
    <t>ORD-00324</t>
  </si>
  <si>
    <t>ORD-00325</t>
  </si>
  <si>
    <t>ORD-00326</t>
  </si>
  <si>
    <t>ORD-00327</t>
  </si>
  <si>
    <t>ORD-00328</t>
  </si>
  <si>
    <t>ORD-00329</t>
  </si>
  <si>
    <t>ORD-00330</t>
  </si>
  <si>
    <t>ORD-00331</t>
  </si>
  <si>
    <t>ORD-00332</t>
  </si>
  <si>
    <t>ORD-00333</t>
  </si>
  <si>
    <t>ORD-00334</t>
  </si>
  <si>
    <t>ORD-00335</t>
  </si>
  <si>
    <t>ORD-00336</t>
  </si>
  <si>
    <t>ORD-00337</t>
  </si>
  <si>
    <t>ORD-00338</t>
  </si>
  <si>
    <t>ORD-00339</t>
  </si>
  <si>
    <t>ORD-00340</t>
  </si>
  <si>
    <t>ORD-00341</t>
  </si>
  <si>
    <t>ORD-00342</t>
  </si>
  <si>
    <t>ORD-00343</t>
  </si>
  <si>
    <t>ORD-00344</t>
  </si>
  <si>
    <t>ORD-00345</t>
  </si>
  <si>
    <t>ORD-00346</t>
  </si>
  <si>
    <t>ORD-00347</t>
  </si>
  <si>
    <t>ORD-00348</t>
  </si>
  <si>
    <t>ORD-00349</t>
  </si>
  <si>
    <t>ORD-00350</t>
  </si>
  <si>
    <t>ORD-00351</t>
  </si>
  <si>
    <t>ORD-00352</t>
  </si>
  <si>
    <t>ORD-00353</t>
  </si>
  <si>
    <t>ORD-00354</t>
  </si>
  <si>
    <t>ORD-00355</t>
  </si>
  <si>
    <t>ORD-00356</t>
  </si>
  <si>
    <t>ORD-00357</t>
  </si>
  <si>
    <t>ORD-00358</t>
  </si>
  <si>
    <t>ORD-00359</t>
  </si>
  <si>
    <t>ORD-00360</t>
  </si>
  <si>
    <t>ORD-00361</t>
  </si>
  <si>
    <t>ORD-00362</t>
  </si>
  <si>
    <t>ORD-00363</t>
  </si>
  <si>
    <t>ORD-00364</t>
  </si>
  <si>
    <t>ORD-00365</t>
  </si>
  <si>
    <t>ORD-00366</t>
  </si>
  <si>
    <t>ORD-00367</t>
  </si>
  <si>
    <t>ORD-00368</t>
  </si>
  <si>
    <t>ORD-00369</t>
  </si>
  <si>
    <t>ORD-00370</t>
  </si>
  <si>
    <t>ORD-00371</t>
  </si>
  <si>
    <t>ORD-00372</t>
  </si>
  <si>
    <t>ORD-00373</t>
  </si>
  <si>
    <t>ORD-00374</t>
  </si>
  <si>
    <t>ORD-00375</t>
  </si>
  <si>
    <t>ORD-00376</t>
  </si>
  <si>
    <t>ORD-00377</t>
  </si>
  <si>
    <t>ORD-00378</t>
  </si>
  <si>
    <t>ORD-00379</t>
  </si>
  <si>
    <t>ORD-00380</t>
  </si>
  <si>
    <t>ORD-00381</t>
  </si>
  <si>
    <t>ORD-00382</t>
  </si>
  <si>
    <t>ORD-00383</t>
  </si>
  <si>
    <t>ORD-00384</t>
  </si>
  <si>
    <t>ORD-00385</t>
  </si>
  <si>
    <t>ORD-00386</t>
  </si>
  <si>
    <t>ORD-00387</t>
  </si>
  <si>
    <t>ORD-00388</t>
  </si>
  <si>
    <t>ORD-00389</t>
  </si>
  <si>
    <t>ORD-00390</t>
  </si>
  <si>
    <t>ORD-00391</t>
  </si>
  <si>
    <t>ORD-00392</t>
  </si>
  <si>
    <t>ORD-00393</t>
  </si>
  <si>
    <t>ORD-00394</t>
  </si>
  <si>
    <t>ORD-00395</t>
  </si>
  <si>
    <t>ORD-00396</t>
  </si>
  <si>
    <t>ORD-00397</t>
  </si>
  <si>
    <t>ORD-00398</t>
  </si>
  <si>
    <t>ORD-00399</t>
  </si>
  <si>
    <t>ORD-00400</t>
  </si>
  <si>
    <t>ORD-00401</t>
  </si>
  <si>
    <t>ORD-00402</t>
  </si>
  <si>
    <t>ORD-00403</t>
  </si>
  <si>
    <t>ORD-00404</t>
  </si>
  <si>
    <t>ORD-00405</t>
  </si>
  <si>
    <t>ORD-00406</t>
  </si>
  <si>
    <t>ORD-00407</t>
  </si>
  <si>
    <t>ORD-00408</t>
  </si>
  <si>
    <t>ORD-00409</t>
  </si>
  <si>
    <t>ORD-00410</t>
  </si>
  <si>
    <t>ORD-00411</t>
  </si>
  <si>
    <t>ORD-00412</t>
  </si>
  <si>
    <t>ORD-00413</t>
  </si>
  <si>
    <t>ORD-00414</t>
  </si>
  <si>
    <t>ORD-00415</t>
  </si>
  <si>
    <t>ORD-00416</t>
  </si>
  <si>
    <t>ORD-00417</t>
  </si>
  <si>
    <t>ORD-00418</t>
  </si>
  <si>
    <t>ORD-00419</t>
  </si>
  <si>
    <t>ORD-00420</t>
  </si>
  <si>
    <t>ORD-00421</t>
  </si>
  <si>
    <t>ORD-00422</t>
  </si>
  <si>
    <t>ORD-00423</t>
  </si>
  <si>
    <t>ORD-00424</t>
  </si>
  <si>
    <t>ORD-00425</t>
  </si>
  <si>
    <t>ORD-00426</t>
  </si>
  <si>
    <t>ORD-00427</t>
  </si>
  <si>
    <t>ORD-00428</t>
  </si>
  <si>
    <t>ORD-00429</t>
  </si>
  <si>
    <t>ORD-00430</t>
  </si>
  <si>
    <t>ORD-00431</t>
  </si>
  <si>
    <t>ORD-00432</t>
  </si>
  <si>
    <t>ORD-00433</t>
  </si>
  <si>
    <t>ORD-00434</t>
  </si>
  <si>
    <t>ORD-00435</t>
  </si>
  <si>
    <t>ORD-00436</t>
  </si>
  <si>
    <t>ORD-00437</t>
  </si>
  <si>
    <t>ORD-00438</t>
  </si>
  <si>
    <t>ORD-00439</t>
  </si>
  <si>
    <t>ORD-00440</t>
  </si>
  <si>
    <t>ORD-00441</t>
  </si>
  <si>
    <t>ORD-00442</t>
  </si>
  <si>
    <t>ORD-00443</t>
  </si>
  <si>
    <t>ORD-00444</t>
  </si>
  <si>
    <t>ORD-00445</t>
  </si>
  <si>
    <t>ORD-00446</t>
  </si>
  <si>
    <t>ORD-00447</t>
  </si>
  <si>
    <t>ORD-00448</t>
  </si>
  <si>
    <t>ORD-00449</t>
  </si>
  <si>
    <t>ORD-00450</t>
  </si>
  <si>
    <t>ORD-00451</t>
  </si>
  <si>
    <t>ORD-00452</t>
  </si>
  <si>
    <t>ORD-00453</t>
  </si>
  <si>
    <t>ORD-00454</t>
  </si>
  <si>
    <t>ORD-00455</t>
  </si>
  <si>
    <t>ORD-00456</t>
  </si>
  <si>
    <t>ORD-00457</t>
  </si>
  <si>
    <t>ORD-00458</t>
  </si>
  <si>
    <t>ORD-00459</t>
  </si>
  <si>
    <t>ORD-00460</t>
  </si>
  <si>
    <t>ORD-00461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</si>
  <si>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</si>
  <si>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</si>
  <si>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</si>
  <si>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</si>
  <si>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</si>
  <si>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</si>
  <si>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</si>
  <si>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</si>
  <si>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ORD-00470</t>
  </si>
  <si>
    <t>ORD-00471</t>
  </si>
  <si>
    <t>ORD-00472</t>
  </si>
  <si>
    <t>ORD-00473</t>
  </si>
  <si>
    <t>ORD-00474</t>
  </si>
  <si>
    <t>ORD-00475</t>
  </si>
  <si>
    <t>ORD-00476</t>
  </si>
  <si>
    <t>ORD-00477</t>
  </si>
  <si>
    <t>ORD-00478</t>
  </si>
  <si>
    <t>ORD-00479</t>
  </si>
  <si>
    <t>ORD-00480</t>
  </si>
  <si>
    <t>ORD-00481</t>
  </si>
  <si>
    <t>ORD-00482</t>
  </si>
  <si>
    <t>ORD-00483</t>
  </si>
  <si>
    <t>ORD-00484</t>
  </si>
  <si>
    <t>ORD-00485</t>
  </si>
  <si>
    <t>ORD-00486</t>
  </si>
  <si>
    <t>ORD-00487</t>
  </si>
  <si>
    <t>ORD-00488</t>
  </si>
  <si>
    <t>ORD-00489</t>
  </si>
  <si>
    <t>ORD-00490</t>
  </si>
  <si>
    <t>ORD-00491</t>
  </si>
  <si>
    <t>ORD-00492</t>
  </si>
  <si>
    <t>ORD-00493</t>
  </si>
  <si>
    <t>ORD-00494</t>
  </si>
  <si>
    <t>ORD-00495</t>
  </si>
  <si>
    <t>ORD-00496</t>
  </si>
  <si>
    <t>ORD-00497</t>
  </si>
  <si>
    <t>ORD-00498</t>
  </si>
  <si>
    <t>ORD-00499</t>
  </si>
  <si>
    <t>ORD-00500</t>
  </si>
  <si>
    <t>SALES PERFORMANCE DASHBOARD</t>
  </si>
  <si>
    <t>Portfolio Demo • Excel Dashboard • KPIs • Business Insights</t>
  </si>
  <si>
    <t>TOTAL REVENUE</t>
  </si>
  <si>
    <t>TOTAL PROFIT</t>
  </si>
  <si>
    <t>PROFIT MARGIN</t>
  </si>
  <si>
    <t>ORDERS</t>
  </si>
  <si>
    <t>BUSINESS INSIGHTS</t>
  </si>
  <si>
    <t>• Identify months with stronger or weaker sales performance.
• Compare categories by revenue and profit.
• Review regional performance to support sales decisions.
• Use the Data sheet filters to investigate products and salespeople.
Portfolio tip: replace this text with 3–5 insights you discover yourself.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</si>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</sst>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m\-yyyy"/>
    <numFmt numFmtId="165" formatCode="\$#,##0.00"/>
    <numFmt numFmtId="166" formatCode="0.0%"/>
    <numFmt numFmtId="167" formatCode="mmm"/>
    <numFmt numFmtId="168" formatCode="\$#,##0"/>
  </numFmts>
  <fonts count="7">
    <font>
      <sz val="11"/>
      <name val="Carlito"/>
    </font>
    <font>
      <b/>
      <sz val="11"/>
      <color rgb="FFFFFFFF"/>
      <name val="Carlito"/>
    </font>
    <font>
      <b/>
      <sz val="22"/>
      <color rgb="FFFFFFFF"/>
      <name val="Carlito"/>
    </font>
    <font>
      <i/>
      <sz val="11"/>
      <color rgb="FF17365D"/>
      <name val="Carlito"/>
    </font>
    <font>
      <b/>
      <sz val="10"/>
      <color rgb="FFFFFFFF"/>
      <name val="Carlito"/>
    </font>
    <font>
      <b/>
      <sz val="20"/>
      <color rgb="FF17365D"/>
      <name val="Carlito"/>
    </font>
    <font>
      <sz val="11"/>
      <color rgb="FF333333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0B1F33"/>
      </patternFill>
    </fill>
    <fill>
      <patternFill patternType="solid">
        <fgColor rgb="FFEAF2F8"/>
      </patternFill>
    </fill>
    <fill>
      <patternFill patternType="solid">
        <fgColor rgb="FFF7F9FB"/>
      </patternFill>
    </fill>
  </fills>
  <borders count="9">
    <border>
      <left/>
      <right/>
      <top/>
      <bottom/>
      <diagonal/>
    </border>
    <border>
      <left style="thin">
        <color rgb="FFC9D4DF"/>
      </left>
      <right/>
      <top style="thin">
        <color rgb="FFC9D4DF"/>
      </top>
      <bottom/>
      <diagonal/>
    </border>
    <border>
      <left/>
      <right/>
      <top style="thin">
        <color rgb="FFC9D4DF"/>
      </top>
      <bottom/>
      <diagonal/>
    </border>
    <border>
      <left/>
      <right style="thin">
        <color rgb="FFC9D4DF"/>
      </right>
      <top style="thin">
        <color rgb="FFC9D4DF"/>
      </top>
      <bottom/>
      <diagonal/>
    </border>
    <border>
      <left style="thin">
        <color rgb="FFC9D4DF"/>
      </left>
      <right/>
      <top/>
      <bottom/>
      <diagonal/>
    </border>
    <border>
      <left/>
      <right style="thin">
        <color rgb="FFC9D4DF"/>
      </right>
      <top/>
      <bottom/>
      <diagonal/>
    </border>
    <border>
      <left style="thin">
        <color rgb="FFC9D4DF"/>
      </left>
      <right/>
      <top/>
      <bottom style="thin">
        <color rgb="FFC9D4DF"/>
      </bottom>
      <diagonal/>
    </border>
    <border>
      <left/>
      <right/>
      <top/>
      <bottom style="thin">
        <color rgb="FFC9D4DF"/>
      </bottom>
      <diagonal/>
    </border>
    <border>
      <left/>
      <right style="thin">
        <color rgb="FFC9D4DF"/>
      </right>
      <top/>
      <bottom style="thin">
        <color rgb="FFC9D4D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68" fontId="5" fillId="5" borderId="1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166" fontId="5" fillId="5" borderId="1" xfId="0" applyNumberFormat="1" applyFont="1" applyFill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5" borderId="1" xfId="0" applyFont="1" applyFill="1" applyBorder="1" applyAlignment="1">
      <alignment vertical="top" wrapText="1"/>
    </xf>
    <xf numFmtId="0" fontId="6" fillId="5" borderId="2" xfId="0" applyFont="1" applyFill="1" applyBorder="1" applyAlignment="1">
      <alignment vertical="top" wrapText="1"/>
    </xf>
    <xf numFmtId="0" fontId="6" fillId="5" borderId="3" xfId="0" applyFont="1" applyFill="1" applyBorder="1" applyAlignment="1">
      <alignment vertical="top" wrapText="1"/>
    </xf>
    <xf numFmtId="0" fontId="6" fillId="5" borderId="4" xfId="0" applyFont="1" applyFill="1" applyBorder="1" applyAlignment="1">
      <alignment vertical="top" wrapText="1"/>
    </xf>
    <xf numFmtId="0" fontId="6" fillId="5" borderId="0" xfId="0" applyFont="1" applyFill="1" applyAlignment="1">
      <alignment vertical="top" wrapText="1"/>
    </xf>
    <xf numFmtId="0" fontId="6" fillId="5" borderId="5" xfId="0" applyFont="1" applyFill="1" applyBorder="1" applyAlignment="1">
      <alignment vertical="top" wrapText="1"/>
    </xf>
    <xf numFmtId="0" fontId="6" fillId="5" borderId="6" xfId="0" applyFont="1" applyFill="1" applyBorder="1" applyAlignment="1">
      <alignment vertical="top" wrapText="1"/>
    </xf>
    <xf numFmtId="0" fontId="6" fillId="5" borderId="7" xfId="0" applyFont="1" applyFill="1" applyBorder="1" applyAlignment="1">
      <alignment vertical="top" wrapText="1"/>
    </xf>
    <xf numFmtId="0" fontId="6" fillId="5" borderId="8" xfId="0" applyFont="1" applyFill="1" applyBorder="1" applyAlignment="1">
      <alignment vertical="top" wrapText="1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center" vertical="center" textRotation="0" wrapText="0" indent="0" justifyLastLine="0" shrinkToFit="0" readingOrder="0"/>
    </dxf>
    <dxf>
      <numFmt numFmtId="168" formatCode="\$#,##0"/>
    </dxf>
    <dxf>
      <numFmt numFmtId="168" formatCode="\$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center" vertical="center" textRotation="0" wrapText="0" indent="0" justifyLastLine="0" shrinkToFit="0" readingOrder="0"/>
    </dxf>
    <dxf>
      <numFmt numFmtId="168" formatCode="\$#,##0"/>
    </dxf>
    <dxf>
      <numFmt numFmtId="168" formatCode="\$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rlito"/>
        <scheme val="none"/>
      </font>
      <fill>
        <patternFill patternType="solid">
          <fgColor indexed="64"/>
          <bgColor rgb="FF17365D"/>
        </patternFill>
      </fill>
      <alignment horizontal="center" vertical="center" textRotation="0" wrapText="0" indent="0" justifyLastLine="0" shrinkToFit="0" readingOrder="0"/>
    </dxf>
    <dxf>
      <numFmt numFmtId="168" formatCode="\$#,##0"/>
    </dxf>
    <dxf>
      <numFmt numFmtId="168" formatCode="\$#,##0"/>
    </dxf>
    <dxf>
      <numFmt numFmtId="167" formatCode="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Monthly Revenue &amp; Profit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marker>
            <c:symbol val="none"/>
          </c:marker>
          <c:cat>
            <c:numRef>
              <c:f>Summary!$A$2:$A$9</c:f>
              <c:numCache>
                <c:formatCode>mmm</c:formatCode>
                <c:ptCount val="8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</c:numCache>
            </c:numRef>
          </c:cat>
          <c:val>
            <c:numRef>
              <c:f>Summary!$B$2:$B$9</c:f>
              <c:numCache>
                <c:formatCode>\$#,##0</c:formatCode>
                <c:ptCount val="8"/>
                <c:pt idx="0">
                  <c:v>91909.092500000028</c:v>
                </c:pt>
                <c:pt idx="1">
                  <c:v>37370.415499999988</c:v>
                </c:pt>
                <c:pt idx="2">
                  <c:v>60067.707000000017</c:v>
                </c:pt>
                <c:pt idx="3">
                  <c:v>56070.830500000004</c:v>
                </c:pt>
                <c:pt idx="4">
                  <c:v>38260.51249999999</c:v>
                </c:pt>
                <c:pt idx="5">
                  <c:v>54774.684999999983</c:v>
                </c:pt>
                <c:pt idx="6">
                  <c:v>61062.387499999997</c:v>
                </c:pt>
                <c:pt idx="7">
                  <c:v>69186.887499999997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FC9-4C09-958F-4DDBA1581392}"/>
            </c:ext>
          </c:extLst>
        </c:ser>
        <c:ser>
          <c:idx val="1"/>
          <c:order val="1"/>
          <c:marker>
            <c:symbol val="none"/>
          </c:marker>
          <c:cat>
            <c:numRef>
              <c:f>Summary!$A$2:$A$9</c:f>
              <c:numCache>
                <c:formatCode>mmm</c:formatCode>
                <c:ptCount val="8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</c:numCache>
            </c:numRef>
          </c:cat>
          <c:val>
            <c:numRef>
              <c:f>Summary!$C$2:$C$9</c:f>
              <c:numCache>
                <c:formatCode>\$#,##0</c:formatCode>
                <c:ptCount val="8"/>
                <c:pt idx="0">
                  <c:v>27950.532499999987</c:v>
                </c:pt>
                <c:pt idx="1">
                  <c:v>14372.0155</c:v>
                </c:pt>
                <c:pt idx="2">
                  <c:v>19514.017000000007</c:v>
                </c:pt>
                <c:pt idx="3">
                  <c:v>19377.930499999999</c:v>
                </c:pt>
                <c:pt idx="4">
                  <c:v>13247.3225</c:v>
                </c:pt>
                <c:pt idx="5">
                  <c:v>18706.284999999996</c:v>
                </c:pt>
                <c:pt idx="6">
                  <c:v>19373.597499999996</c:v>
                </c:pt>
                <c:pt idx="7">
                  <c:v>23758.267499999987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FC9-4C09-958F-4DDBA15813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m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Performance by Category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1"/>
          <c:cat>
            <c:strRef>
              <c:f>Summary!$E$2:$E$5</c:f>
              <c:strCache>
                <c:ptCount val="4"/>
                <c:pt idx="0">
                  <c:v>Technology</c:v>
                </c:pt>
                <c:pt idx="1">
                  <c:v>Office</c:v>
                </c:pt>
                <c:pt idx="2">
                  <c:v>Accessories</c:v>
                </c:pt>
                <c:pt idx="3">
                  <c:v>Home</c:v>
                </c:pt>
              </c:strCache>
            </c:strRef>
          </c:cat>
          <c:val>
            <c:numRef>
              <c:f>Summary!$F$2:$F$5</c:f>
              <c:numCache>
                <c:formatCode>\$#,##0</c:formatCode>
                <c:ptCount val="4"/>
                <c:pt idx="0">
                  <c:v>241046.04899999997</c:v>
                </c:pt>
                <c:pt idx="1">
                  <c:v>116778.81700000002</c:v>
                </c:pt>
                <c:pt idx="2">
                  <c:v>46822.763500000001</c:v>
                </c:pt>
                <c:pt idx="3">
                  <c:v>64054.888499999979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20-4211-9A53-D4F5527E1771}"/>
            </c:ext>
          </c:extLst>
        </c:ser>
        <c:ser>
          <c:idx val="1"/>
          <c:order val="1"/>
          <c:invertIfNegative val="1"/>
          <c:cat>
            <c:strRef>
              <c:f>Summary!$E$2:$E$5</c:f>
              <c:strCache>
                <c:ptCount val="4"/>
                <c:pt idx="0">
                  <c:v>Technology</c:v>
                </c:pt>
                <c:pt idx="1">
                  <c:v>Office</c:v>
                </c:pt>
                <c:pt idx="2">
                  <c:v>Accessories</c:v>
                </c:pt>
                <c:pt idx="3">
                  <c:v>Home</c:v>
                </c:pt>
              </c:strCache>
            </c:strRef>
          </c:cat>
          <c:val>
            <c:numRef>
              <c:f>Summary!$G$2:$G$5</c:f>
              <c:numCache>
                <c:formatCode>\$#,##0</c:formatCode>
                <c:ptCount val="4"/>
                <c:pt idx="0">
                  <c:v>67199.958999999973</c:v>
                </c:pt>
                <c:pt idx="1">
                  <c:v>41662.756999999991</c:v>
                </c:pt>
                <c:pt idx="2">
                  <c:v>22483.4935</c:v>
                </c:pt>
                <c:pt idx="3">
                  <c:v>24953.758499999993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D20-4211-9A53-D4F5527E17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Performance by Region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1"/>
          <c:cat>
            <c:strRef>
              <c:f>Summary!$I$2:$I$6</c:f>
              <c:strCache>
                <c:ptCount val="5"/>
                <c:pt idx="0">
                  <c:v>Southeast</c:v>
                </c:pt>
                <c:pt idx="1">
                  <c:v>South</c:v>
                </c:pt>
                <c:pt idx="2">
                  <c:v>Northeast</c:v>
                </c:pt>
                <c:pt idx="3">
                  <c:v>Midwest</c:v>
                </c:pt>
                <c:pt idx="4">
                  <c:v>North</c:v>
                </c:pt>
              </c:strCache>
            </c:strRef>
          </c:cat>
          <c:val>
            <c:numRef>
              <c:f>Summary!$J$2:$J$6</c:f>
              <c:numCache>
                <c:formatCode>\$#,##0</c:formatCode>
                <c:ptCount val="5"/>
                <c:pt idx="0">
                  <c:v>201858.73150000002</c:v>
                </c:pt>
                <c:pt idx="1">
                  <c:v>81240.724000000031</c:v>
                </c:pt>
                <c:pt idx="2">
                  <c:v>86070.775000000038</c:v>
                </c:pt>
                <c:pt idx="3">
                  <c:v>56825.175499999998</c:v>
                </c:pt>
                <c:pt idx="4">
                  <c:v>42707.111999999986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20-43DB-90E8-A6C049610EF1}"/>
            </c:ext>
          </c:extLst>
        </c:ser>
        <c:ser>
          <c:idx val="1"/>
          <c:order val="1"/>
          <c:invertIfNegative val="1"/>
          <c:cat>
            <c:strRef>
              <c:f>Summary!$I$2:$I$6</c:f>
              <c:strCache>
                <c:ptCount val="5"/>
                <c:pt idx="0">
                  <c:v>Southeast</c:v>
                </c:pt>
                <c:pt idx="1">
                  <c:v>South</c:v>
                </c:pt>
                <c:pt idx="2">
                  <c:v>Northeast</c:v>
                </c:pt>
                <c:pt idx="3">
                  <c:v>Midwest</c:v>
                </c:pt>
                <c:pt idx="4">
                  <c:v>North</c:v>
                </c:pt>
              </c:strCache>
            </c:strRef>
          </c:cat>
          <c:val>
            <c:numRef>
              <c:f>Summary!$K$2:$K$6</c:f>
              <c:numCache>
                <c:formatCode>\$#,##0</c:formatCode>
                <c:ptCount val="5"/>
                <c:pt idx="0">
                  <c:v>65599.451500000025</c:v>
                </c:pt>
                <c:pt idx="1">
                  <c:v>29553.003999999997</c:v>
                </c:pt>
                <c:pt idx="2">
                  <c:v>27336.715000000007</c:v>
                </c:pt>
                <c:pt idx="3">
                  <c:v>18643.075500000003</c:v>
                </c:pt>
                <c:pt idx="4">
                  <c:v>15167.721999999996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120-43DB-90E8-A6C049610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\$#,##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0</xdr:rowOff>
    </xdr:from>
    <xdr:to>
      <xdr:col>6</xdr:col>
      <xdr:colOff>0</xdr:colOff>
      <xdr:row>22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8</xdr:row>
      <xdr:rowOff>0</xdr:rowOff>
    </xdr:from>
    <xdr:to>
      <xdr:col>12</xdr:col>
      <xdr:colOff>0</xdr:colOff>
      <xdr:row>22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6</xdr:col>
      <xdr:colOff>0</xdr:colOff>
      <xdr:row>37</xdr:row>
      <xdr:rowOff>0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Data" displayName="SalesData" ref="A1:M501" totalsRowShown="0">
  <tableColumns count="13">
    <tableColumn id="1" xr3:uid="{00000000-0010-0000-0000-000001000000}" name="Order ID"/>
    <tableColumn id="2" xr3:uid="{00000000-0010-0000-0000-000002000000}" name="Date"/>
    <tableColumn id="3" xr3:uid="{00000000-0010-0000-0000-000003000000}" name="Region"/>
    <tableColumn id="4" xr3:uid="{00000000-0010-0000-0000-000004000000}" name="Category"/>
    <tableColumn id="5" xr3:uid="{00000000-0010-0000-0000-000005000000}" name="Product"/>
    <tableColumn id="6" xr3:uid="{00000000-0010-0000-0000-000006000000}" name="Salesperson"/>
    <tableColumn id="7" xr3:uid="{00000000-0010-0000-0000-000007000000}" name="Quantity"/>
    <tableColumn id="8" xr3:uid="{00000000-0010-0000-0000-000008000000}" name="Unit Price"/>
    <tableColumn id="9" xr3:uid="{00000000-0010-0000-0000-000009000000}" name="Discount"/>
    <tableColumn id="10" xr3:uid="{00000000-0010-0000-0000-00000A000000}" name="Unit Cost"/>
    <tableColumn id="11" xr3:uid="{00000000-0010-0000-0000-00000B000000}" name="Revenue"/>
    <tableColumn id="12" xr3:uid="{00000000-0010-0000-0000-00000C000000}" name="Profit"/>
    <tableColumn id="13" xr3:uid="{00000000-0010-0000-0000-00000D000000}" name="Margi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051E77-AA77-424F-B56C-4E377175AD26}" name="Tabela2" displayName="Tabela2" ref="A1:C9" totalsRowShown="0" headerRowDxfId="6">
  <autoFilter ref="A1:C9" xr:uid="{71051E77-AA77-424F-B56C-4E377175AD26}"/>
  <tableColumns count="3">
    <tableColumn id="1" xr3:uid="{97371CBB-6695-47AD-9278-3581D8C0893C}" name="Month" dataDxfId="9"/>
    <tableColumn id="2" xr3:uid="{532EF237-552B-4573-94D2-B86A58D641C6}" name="Revenue" dataDxfId="8"/>
    <tableColumn id="3" xr3:uid="{87C448A5-AEA0-44D0-8D13-469ACCF25BF6}" name="Profit" dataDxfId="7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B67AA34-EC48-4CAF-9451-BEE3368E3D0D}" name="Tabela3" displayName="Tabela3" ref="E1:G5" totalsRowShown="0" headerRowDxfId="3">
  <autoFilter ref="E1:G5" xr:uid="{4B67AA34-EC48-4CAF-9451-BEE3368E3D0D}"/>
  <tableColumns count="3">
    <tableColumn id="1" xr3:uid="{BA5EEB4F-A572-4F0E-8392-85DE3EAE219D}" name="Category"/>
    <tableColumn id="2" xr3:uid="{9486E049-D7D8-4AA3-9E80-004148CA25B9}" name="Revenue" dataDxfId="5">
      <calculatedColumnFormula>SUMIFS(Data!$K$2:$K$501,Data!$D$2:$D$501,E2)</calculatedColumnFormula>
    </tableColumn>
    <tableColumn id="3" xr3:uid="{E9BBF5AA-1691-4433-B711-1816F8A94515}" name="Profit" dataDxfId="4">
      <calculatedColumnFormula>SUMIFS(Data!$L$2:$L$501,Data!$D$2:$D$501,E2)</calculatedColumnFormula>
    </tableColumn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ED82B48-FFD1-4CCA-8657-791BFB8004F6}" name="Tabela4" displayName="Tabela4" ref="I1:K6" totalsRowShown="0" headerRowDxfId="0">
  <autoFilter ref="I1:K6" xr:uid="{EED82B48-FFD1-4CCA-8657-791BFB8004F6}"/>
  <tableColumns count="3">
    <tableColumn id="1" xr3:uid="{7B2003B2-D49B-41C2-AE52-96D04210B357}" name="Region"/>
    <tableColumn id="2" xr3:uid="{1A116840-0C00-4C08-BDC3-4ED19E7D7749}" name="Revenue" dataDxfId="2">
      <calculatedColumnFormula>SUMIFS(Data!$K$2:$K$501,Data!$C$2:$C$501,I2)</calculatedColumnFormula>
    </tableColumn>
    <tableColumn id="3" xr3:uid="{9E8DFBA9-0D05-4F02-84BD-B9191BEE8475}" name="Profit" dataDxfId="1">
      <calculatedColumnFormula>SUMIFS(Data!$L$2:$L$501,Data!$C$2:$C$501,I2)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01"/>
  <sheetViews>
    <sheetView topLeftCell="A27" workbookViewId="0"/>
  </sheetViews>
  <sheetFormatPr defaultRowHeight="14.25"/>
  <cols>
    <col min="1" max="1" width="13" customWidth="1"/>
    <col min="2" max="2" width="12" customWidth="1"/>
    <col min="3" max="3" width="13" customWidth="1"/>
    <col min="4" max="4" width="14" customWidth="1"/>
    <col min="5" max="5" width="18" customWidth="1"/>
    <col min="6" max="6" width="13" customWidth="1"/>
    <col min="7" max="7" width="10" customWidth="1"/>
    <col min="8" max="8" width="12" customWidth="1"/>
    <col min="9" max="9" width="10" customWidth="1"/>
    <col min="10" max="10" width="12" customWidth="1"/>
    <col min="11" max="12" width="13" customWidth="1"/>
    <col min="13" max="13" width="10" customWidth="1"/>
  </cols>
  <sheetData>
    <row r="1" spans="1:13" ht="26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s="2">
        <v>46186</v>
      </c>
      <c r="C2" t="s">
        <v>14</v>
      </c>
      <c r="D2" t="s">
        <v>15</v>
      </c>
      <c r="E2" t="s">
        <v>16</v>
      </c>
      <c r="F2" t="s">
        <v>17</v>
      </c>
      <c r="G2">
        <v>4</v>
      </c>
      <c r="H2" s="3">
        <v>67.849999999999994</v>
      </c>
      <c r="I2" s="4">
        <v>0</v>
      </c>
      <c r="J2" s="3">
        <v>32.549999999999997</v>
      </c>
      <c r="K2" s="3">
        <f t="shared" ref="K2:K65" si="0">G2*H2*(1-I2)</f>
        <v>271.39999999999998</v>
      </c>
      <c r="L2" s="3">
        <f t="shared" ref="L2:L65" si="1">K2-(G2*J2)</f>
        <v>141.19999999999999</v>
      </c>
      <c r="M2" s="5">
        <f t="shared" ref="M2:M65" si="2">IFERROR(L2/K2,0)</f>
        <v>0.52026529108327191</v>
      </c>
    </row>
    <row r="3" spans="1:13">
      <c r="A3" t="s">
        <v>18</v>
      </c>
      <c r="B3" s="2">
        <v>46045</v>
      </c>
      <c r="C3" t="s">
        <v>19</v>
      </c>
      <c r="D3" t="s">
        <v>20</v>
      </c>
      <c r="E3" t="s">
        <v>21</v>
      </c>
      <c r="F3" t="s">
        <v>22</v>
      </c>
      <c r="G3">
        <v>2</v>
      </c>
      <c r="H3" s="3">
        <v>1206.58</v>
      </c>
      <c r="I3" s="4">
        <v>0</v>
      </c>
      <c r="J3" s="3">
        <v>834.13</v>
      </c>
      <c r="K3" s="3">
        <f t="shared" si="0"/>
        <v>2413.16</v>
      </c>
      <c r="L3" s="3">
        <f t="shared" si="1"/>
        <v>744.89999999999986</v>
      </c>
      <c r="M3" s="5">
        <f t="shared" si="2"/>
        <v>0.30868239155298444</v>
      </c>
    </row>
    <row r="4" spans="1:13">
      <c r="A4" t="s">
        <v>23</v>
      </c>
      <c r="B4" s="2">
        <v>46206</v>
      </c>
      <c r="C4" t="s">
        <v>19</v>
      </c>
      <c r="D4" t="s">
        <v>24</v>
      </c>
      <c r="E4" t="s">
        <v>25</v>
      </c>
      <c r="F4" t="s">
        <v>22</v>
      </c>
      <c r="G4">
        <v>8</v>
      </c>
      <c r="H4" s="3">
        <v>185.91</v>
      </c>
      <c r="I4" s="4">
        <v>0.05</v>
      </c>
      <c r="J4" s="3">
        <v>107.84</v>
      </c>
      <c r="K4" s="3">
        <f t="shared" si="0"/>
        <v>1412.9159999999999</v>
      </c>
      <c r="L4" s="3">
        <f t="shared" si="1"/>
        <v>550.19599999999991</v>
      </c>
      <c r="M4" s="5">
        <f t="shared" si="2"/>
        <v>0.38940460720948727</v>
      </c>
    </row>
    <row r="5" spans="1:13">
      <c r="A5" t="s">
        <v>26</v>
      </c>
      <c r="B5" s="2">
        <v>46201</v>
      </c>
      <c r="C5" t="s">
        <v>27</v>
      </c>
      <c r="D5" t="s">
        <v>15</v>
      </c>
      <c r="E5" t="s">
        <v>16</v>
      </c>
      <c r="F5" t="s">
        <v>28</v>
      </c>
      <c r="G5">
        <v>4</v>
      </c>
      <c r="H5" s="3">
        <v>69.319999999999993</v>
      </c>
      <c r="I5" s="4">
        <v>0.2</v>
      </c>
      <c r="J5" s="3">
        <v>31.51</v>
      </c>
      <c r="K5" s="3">
        <f t="shared" si="0"/>
        <v>221.82399999999998</v>
      </c>
      <c r="L5" s="3">
        <f t="shared" si="1"/>
        <v>95.783999999999978</v>
      </c>
      <c r="M5" s="5">
        <f t="shared" si="2"/>
        <v>0.43180178880553943</v>
      </c>
    </row>
    <row r="6" spans="1:13">
      <c r="A6" t="s">
        <v>29</v>
      </c>
      <c r="B6" s="2">
        <v>46114</v>
      </c>
      <c r="C6" t="s">
        <v>30</v>
      </c>
      <c r="D6" t="s">
        <v>15</v>
      </c>
      <c r="E6" t="s">
        <v>16</v>
      </c>
      <c r="F6" t="s">
        <v>17</v>
      </c>
      <c r="G6">
        <v>8</v>
      </c>
      <c r="H6" s="3">
        <v>73.33</v>
      </c>
      <c r="I6" s="4">
        <v>0.05</v>
      </c>
      <c r="J6" s="3">
        <v>31.97</v>
      </c>
      <c r="K6" s="3">
        <f t="shared" si="0"/>
        <v>557.30799999999999</v>
      </c>
      <c r="L6" s="3">
        <f t="shared" si="1"/>
        <v>301.548</v>
      </c>
      <c r="M6" s="5">
        <f t="shared" si="2"/>
        <v>0.54107961845155639</v>
      </c>
    </row>
    <row r="7" spans="1:13">
      <c r="A7" t="s">
        <v>31</v>
      </c>
      <c r="B7" s="2">
        <v>46098</v>
      </c>
      <c r="C7" t="s">
        <v>30</v>
      </c>
      <c r="D7" t="s">
        <v>15</v>
      </c>
      <c r="E7" t="s">
        <v>32</v>
      </c>
      <c r="F7" t="s">
        <v>33</v>
      </c>
      <c r="G7">
        <v>4</v>
      </c>
      <c r="H7" s="3">
        <v>91.59</v>
      </c>
      <c r="I7" s="4">
        <v>0.1</v>
      </c>
      <c r="J7" s="3">
        <v>47.59</v>
      </c>
      <c r="K7" s="3">
        <f t="shared" si="0"/>
        <v>329.72400000000005</v>
      </c>
      <c r="L7" s="3">
        <f t="shared" si="1"/>
        <v>139.36400000000003</v>
      </c>
      <c r="M7" s="5">
        <f t="shared" si="2"/>
        <v>0.42266865620943583</v>
      </c>
    </row>
    <row r="8" spans="1:13">
      <c r="A8" t="s">
        <v>34</v>
      </c>
      <c r="B8" s="2">
        <v>46043</v>
      </c>
      <c r="C8" t="s">
        <v>30</v>
      </c>
      <c r="D8" t="s">
        <v>20</v>
      </c>
      <c r="E8" t="s">
        <v>35</v>
      </c>
      <c r="F8" t="s">
        <v>33</v>
      </c>
      <c r="G8">
        <v>5</v>
      </c>
      <c r="H8" s="3">
        <v>36.229999999999997</v>
      </c>
      <c r="I8" s="4">
        <v>0.05</v>
      </c>
      <c r="J8" s="3">
        <v>15.81</v>
      </c>
      <c r="K8" s="3">
        <f t="shared" si="0"/>
        <v>172.09249999999997</v>
      </c>
      <c r="L8" s="3">
        <f t="shared" si="1"/>
        <v>93.042499999999976</v>
      </c>
      <c r="M8" s="5">
        <f t="shared" si="2"/>
        <v>0.54065400874529679</v>
      </c>
    </row>
    <row r="9" spans="1:13">
      <c r="A9" t="s">
        <v>36</v>
      </c>
      <c r="B9" s="2">
        <v>46076</v>
      </c>
      <c r="C9" t="s">
        <v>19</v>
      </c>
      <c r="D9" t="s">
        <v>20</v>
      </c>
      <c r="E9" t="s">
        <v>37</v>
      </c>
      <c r="F9" t="s">
        <v>33</v>
      </c>
      <c r="G9">
        <v>3</v>
      </c>
      <c r="H9" s="3">
        <v>284.79000000000002</v>
      </c>
      <c r="I9" s="4">
        <v>0.05</v>
      </c>
      <c r="J9" s="3">
        <v>180.56</v>
      </c>
      <c r="K9" s="3">
        <f t="shared" si="0"/>
        <v>811.65150000000006</v>
      </c>
      <c r="L9" s="3">
        <f t="shared" si="1"/>
        <v>269.97149999999999</v>
      </c>
      <c r="M9" s="5">
        <f t="shared" si="2"/>
        <v>0.33261997298101459</v>
      </c>
    </row>
    <row r="10" spans="1:13">
      <c r="A10" t="s">
        <v>38</v>
      </c>
      <c r="B10" s="2">
        <v>46259</v>
      </c>
      <c r="C10" t="s">
        <v>19</v>
      </c>
      <c r="D10" t="s">
        <v>39</v>
      </c>
      <c r="E10" t="s">
        <v>40</v>
      </c>
      <c r="F10" t="s">
        <v>28</v>
      </c>
      <c r="G10">
        <v>6</v>
      </c>
      <c r="H10" s="3">
        <v>56.64</v>
      </c>
      <c r="I10" s="4">
        <v>0.15</v>
      </c>
      <c r="J10" s="3">
        <v>23.79</v>
      </c>
      <c r="K10" s="3">
        <f t="shared" si="0"/>
        <v>288.86400000000003</v>
      </c>
      <c r="L10" s="3">
        <f t="shared" si="1"/>
        <v>146.12400000000002</v>
      </c>
      <c r="M10" s="5">
        <f t="shared" si="2"/>
        <v>0.50585742771684949</v>
      </c>
    </row>
    <row r="11" spans="1:13">
      <c r="A11" t="s">
        <v>41</v>
      </c>
      <c r="B11" s="2">
        <v>46229</v>
      </c>
      <c r="C11" t="s">
        <v>14</v>
      </c>
      <c r="D11" t="s">
        <v>15</v>
      </c>
      <c r="E11" t="s">
        <v>16</v>
      </c>
      <c r="F11" t="s">
        <v>22</v>
      </c>
      <c r="G11">
        <v>4</v>
      </c>
      <c r="H11" s="3">
        <v>70.77</v>
      </c>
      <c r="I11" s="4">
        <v>0.15</v>
      </c>
      <c r="J11" s="3">
        <v>32.51</v>
      </c>
      <c r="K11" s="3">
        <f t="shared" si="0"/>
        <v>240.61799999999997</v>
      </c>
      <c r="L11" s="3">
        <f t="shared" si="1"/>
        <v>110.57799999999997</v>
      </c>
      <c r="M11" s="5">
        <f t="shared" si="2"/>
        <v>0.45955830403377962</v>
      </c>
    </row>
    <row r="12" spans="1:13">
      <c r="A12" t="s">
        <v>42</v>
      </c>
      <c r="B12" s="2">
        <v>46190</v>
      </c>
      <c r="C12" t="s">
        <v>27</v>
      </c>
      <c r="D12" t="s">
        <v>24</v>
      </c>
      <c r="E12" t="s">
        <v>25</v>
      </c>
      <c r="F12" t="s">
        <v>43</v>
      </c>
      <c r="G12">
        <v>5</v>
      </c>
      <c r="H12" s="3">
        <v>184.87</v>
      </c>
      <c r="I12" s="4">
        <v>0</v>
      </c>
      <c r="J12" s="3">
        <v>110.76</v>
      </c>
      <c r="K12" s="3">
        <f t="shared" si="0"/>
        <v>924.35</v>
      </c>
      <c r="L12" s="3">
        <f t="shared" si="1"/>
        <v>370.54999999999995</v>
      </c>
      <c r="M12" s="5">
        <f t="shared" si="2"/>
        <v>0.40087629144804449</v>
      </c>
    </row>
    <row r="13" spans="1:13">
      <c r="A13" t="s">
        <v>44</v>
      </c>
      <c r="B13" s="2">
        <v>46172</v>
      </c>
      <c r="C13" t="s">
        <v>27</v>
      </c>
      <c r="D13" t="s">
        <v>24</v>
      </c>
      <c r="E13" t="s">
        <v>45</v>
      </c>
      <c r="F13" t="s">
        <v>28</v>
      </c>
      <c r="G13">
        <v>4</v>
      </c>
      <c r="H13" s="3">
        <v>121.56</v>
      </c>
      <c r="I13" s="4">
        <v>0.2</v>
      </c>
      <c r="J13" s="3">
        <v>72.34</v>
      </c>
      <c r="K13" s="3">
        <f t="shared" si="0"/>
        <v>388.99200000000002</v>
      </c>
      <c r="L13" s="3">
        <f t="shared" si="1"/>
        <v>99.632000000000005</v>
      </c>
      <c r="M13" s="5">
        <f t="shared" si="2"/>
        <v>0.25612866074366569</v>
      </c>
    </row>
    <row r="14" spans="1:13">
      <c r="A14" t="s">
        <v>46</v>
      </c>
      <c r="B14" s="2">
        <v>46243</v>
      </c>
      <c r="C14" t="s">
        <v>14</v>
      </c>
      <c r="D14" t="s">
        <v>39</v>
      </c>
      <c r="E14" t="s">
        <v>40</v>
      </c>
      <c r="F14" t="s">
        <v>47</v>
      </c>
      <c r="G14">
        <v>7</v>
      </c>
      <c r="H14" s="3">
        <v>54.7</v>
      </c>
      <c r="I14" s="4">
        <v>0.05</v>
      </c>
      <c r="J14" s="3">
        <v>24.24</v>
      </c>
      <c r="K14" s="3">
        <f t="shared" si="0"/>
        <v>363.755</v>
      </c>
      <c r="L14" s="3">
        <f t="shared" si="1"/>
        <v>194.07500000000002</v>
      </c>
      <c r="M14" s="5">
        <f t="shared" si="2"/>
        <v>0.5335321851246031</v>
      </c>
    </row>
    <row r="15" spans="1:13">
      <c r="A15" t="s">
        <v>48</v>
      </c>
      <c r="B15" s="2">
        <v>46158</v>
      </c>
      <c r="C15" t="s">
        <v>14</v>
      </c>
      <c r="D15" t="s">
        <v>20</v>
      </c>
      <c r="E15" t="s">
        <v>37</v>
      </c>
      <c r="F15" t="s">
        <v>43</v>
      </c>
      <c r="G15">
        <v>2</v>
      </c>
      <c r="H15" s="3">
        <v>292.41000000000003</v>
      </c>
      <c r="I15" s="4">
        <v>0.1</v>
      </c>
      <c r="J15" s="3">
        <v>178.8</v>
      </c>
      <c r="K15" s="3">
        <f t="shared" si="0"/>
        <v>526.33800000000008</v>
      </c>
      <c r="L15" s="3">
        <f t="shared" si="1"/>
        <v>168.73800000000006</v>
      </c>
      <c r="M15" s="5">
        <f t="shared" si="2"/>
        <v>0.32058867115807721</v>
      </c>
    </row>
    <row r="16" spans="1:13">
      <c r="A16" t="s">
        <v>49</v>
      </c>
      <c r="B16" s="2">
        <v>46110</v>
      </c>
      <c r="C16" t="s">
        <v>14</v>
      </c>
      <c r="D16" t="s">
        <v>24</v>
      </c>
      <c r="E16" t="s">
        <v>25</v>
      </c>
      <c r="F16" t="s">
        <v>17</v>
      </c>
      <c r="G16">
        <v>8</v>
      </c>
      <c r="H16" s="3">
        <v>184.5</v>
      </c>
      <c r="I16" s="4">
        <v>0</v>
      </c>
      <c r="J16" s="3">
        <v>111.76</v>
      </c>
      <c r="K16" s="3">
        <f t="shared" si="0"/>
        <v>1476</v>
      </c>
      <c r="L16" s="3">
        <f t="shared" si="1"/>
        <v>581.91999999999996</v>
      </c>
      <c r="M16" s="5">
        <f t="shared" si="2"/>
        <v>0.39425474254742543</v>
      </c>
    </row>
    <row r="17" spans="1:13">
      <c r="A17" t="s">
        <v>50</v>
      </c>
      <c r="B17" s="2">
        <v>46218</v>
      </c>
      <c r="C17" t="s">
        <v>14</v>
      </c>
      <c r="D17" t="s">
        <v>20</v>
      </c>
      <c r="E17" t="s">
        <v>37</v>
      </c>
      <c r="F17" t="s">
        <v>33</v>
      </c>
      <c r="G17">
        <v>5</v>
      </c>
      <c r="H17" s="3">
        <v>291.64999999999998</v>
      </c>
      <c r="I17" s="4">
        <v>0.15</v>
      </c>
      <c r="J17" s="3">
        <v>178.19</v>
      </c>
      <c r="K17" s="3">
        <f t="shared" si="0"/>
        <v>1239.5125</v>
      </c>
      <c r="L17" s="3">
        <f t="shared" si="1"/>
        <v>348.5625</v>
      </c>
      <c r="M17" s="5">
        <f t="shared" si="2"/>
        <v>0.28120934641643386</v>
      </c>
    </row>
    <row r="18" spans="1:13">
      <c r="A18" t="s">
        <v>51</v>
      </c>
      <c r="B18" s="2">
        <v>46218</v>
      </c>
      <c r="C18" t="s">
        <v>14</v>
      </c>
      <c r="D18" t="s">
        <v>20</v>
      </c>
      <c r="E18" t="s">
        <v>37</v>
      </c>
      <c r="F18" t="s">
        <v>33</v>
      </c>
      <c r="G18">
        <v>6</v>
      </c>
      <c r="H18" s="3">
        <v>281.32</v>
      </c>
      <c r="I18" s="4">
        <v>0.05</v>
      </c>
      <c r="J18" s="3">
        <v>179.67</v>
      </c>
      <c r="K18" s="3">
        <f t="shared" si="0"/>
        <v>1603.5239999999999</v>
      </c>
      <c r="L18" s="3">
        <f t="shared" si="1"/>
        <v>525.50399999999991</v>
      </c>
      <c r="M18" s="5">
        <f t="shared" si="2"/>
        <v>0.32771820066303964</v>
      </c>
    </row>
    <row r="19" spans="1:13">
      <c r="A19" t="s">
        <v>52</v>
      </c>
      <c r="B19" s="2">
        <v>46084</v>
      </c>
      <c r="C19" t="s">
        <v>14</v>
      </c>
      <c r="D19" t="s">
        <v>20</v>
      </c>
      <c r="E19" t="s">
        <v>21</v>
      </c>
      <c r="F19" t="s">
        <v>22</v>
      </c>
      <c r="G19">
        <v>8</v>
      </c>
      <c r="H19" s="3">
        <v>1257.6199999999999</v>
      </c>
      <c r="I19" s="4">
        <v>0.15</v>
      </c>
      <c r="J19" s="3">
        <v>855.64</v>
      </c>
      <c r="K19" s="3">
        <f t="shared" si="0"/>
        <v>8551.8159999999989</v>
      </c>
      <c r="L19" s="3">
        <f t="shared" si="1"/>
        <v>1706.695999999999</v>
      </c>
      <c r="M19" s="5">
        <f t="shared" si="2"/>
        <v>0.19957117879991795</v>
      </c>
    </row>
    <row r="20" spans="1:13">
      <c r="A20" t="s">
        <v>53</v>
      </c>
      <c r="B20" s="2">
        <v>46055</v>
      </c>
      <c r="C20" t="s">
        <v>19</v>
      </c>
      <c r="D20" t="s">
        <v>39</v>
      </c>
      <c r="E20" t="s">
        <v>54</v>
      </c>
      <c r="F20" t="s">
        <v>43</v>
      </c>
      <c r="G20">
        <v>7</v>
      </c>
      <c r="H20" s="3">
        <v>438.31</v>
      </c>
      <c r="I20" s="4">
        <v>0.2</v>
      </c>
      <c r="J20" s="3">
        <v>274.8</v>
      </c>
      <c r="K20" s="3">
        <f t="shared" si="0"/>
        <v>2454.5360000000001</v>
      </c>
      <c r="L20" s="3">
        <f t="shared" si="1"/>
        <v>530.93599999999992</v>
      </c>
      <c r="M20" s="5">
        <f t="shared" si="2"/>
        <v>0.21630809244598567</v>
      </c>
    </row>
    <row r="21" spans="1:13">
      <c r="A21" t="s">
        <v>55</v>
      </c>
      <c r="B21" s="2">
        <v>46074</v>
      </c>
      <c r="C21" t="s">
        <v>19</v>
      </c>
      <c r="D21" t="s">
        <v>24</v>
      </c>
      <c r="E21" t="s">
        <v>56</v>
      </c>
      <c r="F21" t="s">
        <v>22</v>
      </c>
      <c r="G21">
        <v>6</v>
      </c>
      <c r="H21" s="3">
        <v>65.430000000000007</v>
      </c>
      <c r="I21" s="4">
        <v>0.05</v>
      </c>
      <c r="J21" s="3">
        <v>28.6</v>
      </c>
      <c r="K21" s="3">
        <f t="shared" si="0"/>
        <v>372.95100000000002</v>
      </c>
      <c r="L21" s="3">
        <f t="shared" si="1"/>
        <v>201.351</v>
      </c>
      <c r="M21" s="5">
        <f t="shared" si="2"/>
        <v>0.53988593675844809</v>
      </c>
    </row>
    <row r="22" spans="1:13">
      <c r="A22" t="s">
        <v>57</v>
      </c>
      <c r="B22" s="2">
        <v>46039</v>
      </c>
      <c r="C22" t="s">
        <v>14</v>
      </c>
      <c r="D22" t="s">
        <v>39</v>
      </c>
      <c r="E22" t="s">
        <v>40</v>
      </c>
      <c r="F22" t="s">
        <v>28</v>
      </c>
      <c r="G22">
        <v>4</v>
      </c>
      <c r="H22" s="3">
        <v>56.3</v>
      </c>
      <c r="I22" s="4">
        <v>0</v>
      </c>
      <c r="J22" s="3">
        <v>23.59</v>
      </c>
      <c r="K22" s="3">
        <f t="shared" si="0"/>
        <v>225.2</v>
      </c>
      <c r="L22" s="3">
        <f t="shared" si="1"/>
        <v>130.83999999999997</v>
      </c>
      <c r="M22" s="5">
        <f t="shared" si="2"/>
        <v>0.58099467140319705</v>
      </c>
    </row>
    <row r="23" spans="1:13">
      <c r="A23" t="s">
        <v>58</v>
      </c>
      <c r="B23" s="2">
        <v>46254</v>
      </c>
      <c r="C23" t="s">
        <v>14</v>
      </c>
      <c r="D23" t="s">
        <v>15</v>
      </c>
      <c r="E23" t="s">
        <v>16</v>
      </c>
      <c r="F23" t="s">
        <v>43</v>
      </c>
      <c r="G23">
        <v>4</v>
      </c>
      <c r="H23" s="3">
        <v>70.260000000000005</v>
      </c>
      <c r="I23" s="4">
        <v>0</v>
      </c>
      <c r="J23" s="3">
        <v>32.22</v>
      </c>
      <c r="K23" s="3">
        <f t="shared" si="0"/>
        <v>281.04000000000002</v>
      </c>
      <c r="L23" s="3">
        <f t="shared" si="1"/>
        <v>152.16000000000003</v>
      </c>
      <c r="M23" s="5">
        <f t="shared" si="2"/>
        <v>0.54141759180187876</v>
      </c>
    </row>
    <row r="24" spans="1:13">
      <c r="A24" t="s">
        <v>59</v>
      </c>
      <c r="B24" s="2">
        <v>46262</v>
      </c>
      <c r="C24" t="s">
        <v>60</v>
      </c>
      <c r="D24" t="s">
        <v>24</v>
      </c>
      <c r="E24" t="s">
        <v>25</v>
      </c>
      <c r="F24" t="s">
        <v>47</v>
      </c>
      <c r="G24">
        <v>8</v>
      </c>
      <c r="H24" s="3">
        <v>175.88</v>
      </c>
      <c r="I24" s="4">
        <v>0.15</v>
      </c>
      <c r="J24" s="3">
        <v>108.33</v>
      </c>
      <c r="K24" s="3">
        <f t="shared" si="0"/>
        <v>1195.9839999999999</v>
      </c>
      <c r="L24" s="3">
        <f t="shared" si="1"/>
        <v>329.34399999999994</v>
      </c>
      <c r="M24" s="5">
        <f t="shared" si="2"/>
        <v>0.27537492140363079</v>
      </c>
    </row>
    <row r="25" spans="1:13">
      <c r="A25" t="s">
        <v>61</v>
      </c>
      <c r="B25" s="2">
        <v>46113</v>
      </c>
      <c r="C25" t="s">
        <v>27</v>
      </c>
      <c r="D25" t="s">
        <v>24</v>
      </c>
      <c r="E25" t="s">
        <v>56</v>
      </c>
      <c r="F25" t="s">
        <v>47</v>
      </c>
      <c r="G25">
        <v>1</v>
      </c>
      <c r="H25" s="3">
        <v>68.16</v>
      </c>
      <c r="I25" s="4">
        <v>0.1</v>
      </c>
      <c r="J25" s="3">
        <v>28.56</v>
      </c>
      <c r="K25" s="3">
        <f t="shared" si="0"/>
        <v>61.344000000000001</v>
      </c>
      <c r="L25" s="3">
        <f t="shared" si="1"/>
        <v>32.784000000000006</v>
      </c>
      <c r="M25" s="5">
        <f t="shared" si="2"/>
        <v>0.53442879499217533</v>
      </c>
    </row>
    <row r="26" spans="1:13">
      <c r="A26" t="s">
        <v>62</v>
      </c>
      <c r="B26" s="2">
        <v>46209</v>
      </c>
      <c r="C26" t="s">
        <v>14</v>
      </c>
      <c r="D26" t="s">
        <v>20</v>
      </c>
      <c r="E26" t="s">
        <v>21</v>
      </c>
      <c r="F26" t="s">
        <v>33</v>
      </c>
      <c r="G26">
        <v>4</v>
      </c>
      <c r="H26" s="3">
        <v>1200.45</v>
      </c>
      <c r="I26" s="4">
        <v>0</v>
      </c>
      <c r="J26" s="3">
        <v>850.93</v>
      </c>
      <c r="K26" s="3">
        <f t="shared" si="0"/>
        <v>4801.8</v>
      </c>
      <c r="L26" s="3">
        <f t="shared" si="1"/>
        <v>1398.0800000000004</v>
      </c>
      <c r="M26" s="5">
        <f t="shared" si="2"/>
        <v>0.29115748261068775</v>
      </c>
    </row>
    <row r="27" spans="1:13">
      <c r="A27" t="s">
        <v>63</v>
      </c>
      <c r="B27" s="2">
        <v>46141</v>
      </c>
      <c r="C27" t="s">
        <v>14</v>
      </c>
      <c r="D27" t="s">
        <v>20</v>
      </c>
      <c r="E27" t="s">
        <v>35</v>
      </c>
      <c r="F27" t="s">
        <v>28</v>
      </c>
      <c r="G27">
        <v>2</v>
      </c>
      <c r="H27" s="3">
        <v>36.75</v>
      </c>
      <c r="I27" s="4">
        <v>0</v>
      </c>
      <c r="J27" s="3">
        <v>16.350000000000001</v>
      </c>
      <c r="K27" s="3">
        <f t="shared" si="0"/>
        <v>73.5</v>
      </c>
      <c r="L27" s="3">
        <f t="shared" si="1"/>
        <v>40.799999999999997</v>
      </c>
      <c r="M27" s="5">
        <f t="shared" si="2"/>
        <v>0.55510204081632653</v>
      </c>
    </row>
    <row r="28" spans="1:13">
      <c r="A28" t="s">
        <v>64</v>
      </c>
      <c r="B28" s="2">
        <v>46260</v>
      </c>
      <c r="C28" t="s">
        <v>30</v>
      </c>
      <c r="D28" t="s">
        <v>39</v>
      </c>
      <c r="E28" t="s">
        <v>65</v>
      </c>
      <c r="F28" t="s">
        <v>28</v>
      </c>
      <c r="G28">
        <v>7</v>
      </c>
      <c r="H28" s="3">
        <v>215.43</v>
      </c>
      <c r="I28" s="4">
        <v>0.05</v>
      </c>
      <c r="J28" s="3">
        <v>130.01</v>
      </c>
      <c r="K28" s="3">
        <f t="shared" si="0"/>
        <v>1432.6095</v>
      </c>
      <c r="L28" s="3">
        <f t="shared" si="1"/>
        <v>522.53950000000009</v>
      </c>
      <c r="M28" s="5">
        <f t="shared" si="2"/>
        <v>0.36474663891311632</v>
      </c>
    </row>
    <row r="29" spans="1:13">
      <c r="A29" t="s">
        <v>66</v>
      </c>
      <c r="B29" s="2">
        <v>46065</v>
      </c>
      <c r="C29" t="s">
        <v>27</v>
      </c>
      <c r="D29" t="s">
        <v>24</v>
      </c>
      <c r="E29" t="s">
        <v>45</v>
      </c>
      <c r="F29" t="s">
        <v>17</v>
      </c>
      <c r="G29">
        <v>8</v>
      </c>
      <c r="H29" s="3">
        <v>127.84</v>
      </c>
      <c r="I29" s="4">
        <v>0</v>
      </c>
      <c r="J29" s="3">
        <v>73.19</v>
      </c>
      <c r="K29" s="3">
        <f t="shared" si="0"/>
        <v>1022.72</v>
      </c>
      <c r="L29" s="3">
        <f t="shared" si="1"/>
        <v>437.20000000000005</v>
      </c>
      <c r="M29" s="5">
        <f t="shared" si="2"/>
        <v>0.42748748435544431</v>
      </c>
    </row>
    <row r="30" spans="1:13">
      <c r="A30" t="s">
        <v>67</v>
      </c>
      <c r="B30" s="2">
        <v>46192</v>
      </c>
      <c r="C30" t="s">
        <v>19</v>
      </c>
      <c r="D30" t="s">
        <v>39</v>
      </c>
      <c r="E30" t="s">
        <v>65</v>
      </c>
      <c r="F30" t="s">
        <v>28</v>
      </c>
      <c r="G30">
        <v>5</v>
      </c>
      <c r="H30" s="3">
        <v>212.36</v>
      </c>
      <c r="I30" s="4">
        <v>0</v>
      </c>
      <c r="J30" s="3">
        <v>132.18</v>
      </c>
      <c r="K30" s="3">
        <f t="shared" si="0"/>
        <v>1061.8000000000002</v>
      </c>
      <c r="L30" s="3">
        <f t="shared" si="1"/>
        <v>400.90000000000009</v>
      </c>
      <c r="M30" s="5">
        <f t="shared" si="2"/>
        <v>0.37756639668487474</v>
      </c>
    </row>
    <row r="31" spans="1:13">
      <c r="A31" t="s">
        <v>68</v>
      </c>
      <c r="B31" s="2">
        <v>46214</v>
      </c>
      <c r="C31" t="s">
        <v>14</v>
      </c>
      <c r="D31" t="s">
        <v>20</v>
      </c>
      <c r="E31" t="s">
        <v>37</v>
      </c>
      <c r="F31" t="s">
        <v>17</v>
      </c>
      <c r="G31">
        <v>8</v>
      </c>
      <c r="H31" s="3">
        <v>300.66000000000003</v>
      </c>
      <c r="I31" s="4">
        <v>0.05</v>
      </c>
      <c r="J31" s="3">
        <v>177.82</v>
      </c>
      <c r="K31" s="3">
        <f t="shared" si="0"/>
        <v>2285.0160000000001</v>
      </c>
      <c r="L31" s="3">
        <f t="shared" si="1"/>
        <v>862.45600000000013</v>
      </c>
      <c r="M31" s="5">
        <f t="shared" si="2"/>
        <v>0.37743980786130166</v>
      </c>
    </row>
    <row r="32" spans="1:13">
      <c r="A32" t="s">
        <v>69</v>
      </c>
      <c r="B32" s="2">
        <v>46043</v>
      </c>
      <c r="C32" t="s">
        <v>30</v>
      </c>
      <c r="D32" t="s">
        <v>20</v>
      </c>
      <c r="E32" t="s">
        <v>37</v>
      </c>
      <c r="F32" t="s">
        <v>17</v>
      </c>
      <c r="G32">
        <v>2</v>
      </c>
      <c r="H32" s="3">
        <v>284.54000000000002</v>
      </c>
      <c r="I32" s="4">
        <v>0.1</v>
      </c>
      <c r="J32" s="3">
        <v>177.48</v>
      </c>
      <c r="K32" s="3">
        <f t="shared" si="0"/>
        <v>512.17200000000003</v>
      </c>
      <c r="L32" s="3">
        <f t="shared" si="1"/>
        <v>157.21200000000005</v>
      </c>
      <c r="M32" s="5">
        <f t="shared" si="2"/>
        <v>0.30695157095663184</v>
      </c>
    </row>
    <row r="33" spans="1:13">
      <c r="A33" t="s">
        <v>70</v>
      </c>
      <c r="B33" s="2">
        <v>46086</v>
      </c>
      <c r="C33" t="s">
        <v>19</v>
      </c>
      <c r="D33" t="s">
        <v>20</v>
      </c>
      <c r="E33" t="s">
        <v>37</v>
      </c>
      <c r="F33" t="s">
        <v>33</v>
      </c>
      <c r="G33">
        <v>2</v>
      </c>
      <c r="H33" s="3">
        <v>293.63</v>
      </c>
      <c r="I33" s="4">
        <v>0.05</v>
      </c>
      <c r="J33" s="3">
        <v>181.11</v>
      </c>
      <c r="K33" s="3">
        <f t="shared" si="0"/>
        <v>557.89699999999993</v>
      </c>
      <c r="L33" s="3">
        <f t="shared" si="1"/>
        <v>195.67699999999991</v>
      </c>
      <c r="M33" s="5">
        <f t="shared" si="2"/>
        <v>0.35074036963812305</v>
      </c>
    </row>
    <row r="34" spans="1:13">
      <c r="A34" t="s">
        <v>71</v>
      </c>
      <c r="B34" s="2">
        <v>46075</v>
      </c>
      <c r="C34" t="s">
        <v>19</v>
      </c>
      <c r="D34" t="s">
        <v>15</v>
      </c>
      <c r="E34" t="s">
        <v>16</v>
      </c>
      <c r="F34" t="s">
        <v>33</v>
      </c>
      <c r="G34">
        <v>5</v>
      </c>
      <c r="H34" s="3">
        <v>71.430000000000007</v>
      </c>
      <c r="I34" s="4">
        <v>0.05</v>
      </c>
      <c r="J34" s="3">
        <v>31.84</v>
      </c>
      <c r="K34" s="3">
        <f t="shared" si="0"/>
        <v>339.29250000000002</v>
      </c>
      <c r="L34" s="3">
        <f t="shared" si="1"/>
        <v>180.09250000000003</v>
      </c>
      <c r="M34" s="5">
        <f t="shared" si="2"/>
        <v>0.53078833160178907</v>
      </c>
    </row>
    <row r="35" spans="1:13">
      <c r="A35" t="s">
        <v>72</v>
      </c>
      <c r="B35" s="2">
        <v>46260</v>
      </c>
      <c r="C35" t="s">
        <v>30</v>
      </c>
      <c r="D35" t="s">
        <v>20</v>
      </c>
      <c r="E35" t="s">
        <v>21</v>
      </c>
      <c r="F35" t="s">
        <v>17</v>
      </c>
      <c r="G35">
        <v>8</v>
      </c>
      <c r="H35" s="3">
        <v>1212.8</v>
      </c>
      <c r="I35" s="4">
        <v>0.1</v>
      </c>
      <c r="J35" s="3">
        <v>837.25</v>
      </c>
      <c r="K35" s="3">
        <f t="shared" si="0"/>
        <v>8732.16</v>
      </c>
      <c r="L35" s="3">
        <f t="shared" si="1"/>
        <v>2034.1599999999999</v>
      </c>
      <c r="M35" s="5">
        <f t="shared" si="2"/>
        <v>0.23295038111990618</v>
      </c>
    </row>
    <row r="36" spans="1:13">
      <c r="A36" t="s">
        <v>73</v>
      </c>
      <c r="B36" s="2">
        <v>46077</v>
      </c>
      <c r="C36" t="s">
        <v>27</v>
      </c>
      <c r="D36" t="s">
        <v>39</v>
      </c>
      <c r="E36" t="s">
        <v>54</v>
      </c>
      <c r="F36" t="s">
        <v>17</v>
      </c>
      <c r="G36">
        <v>2</v>
      </c>
      <c r="H36" s="3">
        <v>417.17</v>
      </c>
      <c r="I36" s="4">
        <v>0.15</v>
      </c>
      <c r="J36" s="3">
        <v>266.73</v>
      </c>
      <c r="K36" s="3">
        <f t="shared" si="0"/>
        <v>709.18899999999996</v>
      </c>
      <c r="L36" s="3">
        <f t="shared" si="1"/>
        <v>175.72899999999993</v>
      </c>
      <c r="M36" s="5">
        <f t="shared" si="2"/>
        <v>0.24778867128508753</v>
      </c>
    </row>
    <row r="37" spans="1:13">
      <c r="A37" t="s">
        <v>74</v>
      </c>
      <c r="B37" s="2">
        <v>46203</v>
      </c>
      <c r="C37" t="s">
        <v>14</v>
      </c>
      <c r="D37" t="s">
        <v>20</v>
      </c>
      <c r="E37" t="s">
        <v>37</v>
      </c>
      <c r="F37" t="s">
        <v>33</v>
      </c>
      <c r="G37">
        <v>5</v>
      </c>
      <c r="H37" s="3">
        <v>281.10000000000002</v>
      </c>
      <c r="I37" s="4">
        <v>0.2</v>
      </c>
      <c r="J37" s="3">
        <v>184.3</v>
      </c>
      <c r="K37" s="3">
        <f t="shared" si="0"/>
        <v>1124.4000000000001</v>
      </c>
      <c r="L37" s="3">
        <f t="shared" si="1"/>
        <v>202.90000000000009</v>
      </c>
      <c r="M37" s="5">
        <f t="shared" si="2"/>
        <v>0.18045179651369625</v>
      </c>
    </row>
    <row r="38" spans="1:13">
      <c r="A38" t="s">
        <v>75</v>
      </c>
      <c r="B38" s="2">
        <v>46052</v>
      </c>
      <c r="C38" t="s">
        <v>60</v>
      </c>
      <c r="D38" t="s">
        <v>39</v>
      </c>
      <c r="E38" t="s">
        <v>54</v>
      </c>
      <c r="F38" t="s">
        <v>43</v>
      </c>
      <c r="G38">
        <v>5</v>
      </c>
      <c r="H38" s="3">
        <v>430.33</v>
      </c>
      <c r="I38" s="4">
        <v>0.1</v>
      </c>
      <c r="J38" s="3">
        <v>267.35000000000002</v>
      </c>
      <c r="K38" s="3">
        <f t="shared" si="0"/>
        <v>1936.4850000000001</v>
      </c>
      <c r="L38" s="3">
        <f t="shared" si="1"/>
        <v>599.73500000000013</v>
      </c>
      <c r="M38" s="5">
        <f t="shared" si="2"/>
        <v>0.30970288951373243</v>
      </c>
    </row>
    <row r="39" spans="1:13">
      <c r="A39" t="s">
        <v>76</v>
      </c>
      <c r="B39" s="2">
        <v>46241</v>
      </c>
      <c r="C39" t="s">
        <v>14</v>
      </c>
      <c r="D39" t="s">
        <v>24</v>
      </c>
      <c r="E39" t="s">
        <v>45</v>
      </c>
      <c r="F39" t="s">
        <v>28</v>
      </c>
      <c r="G39">
        <v>1</v>
      </c>
      <c r="H39" s="3">
        <v>124.77</v>
      </c>
      <c r="I39" s="4">
        <v>0</v>
      </c>
      <c r="J39" s="3">
        <v>71.56</v>
      </c>
      <c r="K39" s="3">
        <f t="shared" si="0"/>
        <v>124.77</v>
      </c>
      <c r="L39" s="3">
        <f t="shared" si="1"/>
        <v>53.209999999999994</v>
      </c>
      <c r="M39" s="5">
        <f t="shared" si="2"/>
        <v>0.42646469503887147</v>
      </c>
    </row>
    <row r="40" spans="1:13">
      <c r="A40" t="s">
        <v>77</v>
      </c>
      <c r="B40" s="2">
        <v>46108</v>
      </c>
      <c r="C40" t="s">
        <v>30</v>
      </c>
      <c r="D40" t="s">
        <v>15</v>
      </c>
      <c r="E40" t="s">
        <v>16</v>
      </c>
      <c r="F40" t="s">
        <v>28</v>
      </c>
      <c r="G40">
        <v>8</v>
      </c>
      <c r="H40" s="3">
        <v>69.89</v>
      </c>
      <c r="I40" s="4">
        <v>0.05</v>
      </c>
      <c r="J40" s="3">
        <v>31.38</v>
      </c>
      <c r="K40" s="3">
        <f t="shared" si="0"/>
        <v>531.16399999999999</v>
      </c>
      <c r="L40" s="3">
        <f t="shared" si="1"/>
        <v>280.12400000000002</v>
      </c>
      <c r="M40" s="5">
        <f t="shared" si="2"/>
        <v>0.52737760842225756</v>
      </c>
    </row>
    <row r="41" spans="1:13">
      <c r="A41" t="s">
        <v>78</v>
      </c>
      <c r="B41" s="2">
        <v>46264</v>
      </c>
      <c r="C41" t="s">
        <v>60</v>
      </c>
      <c r="D41" t="s">
        <v>39</v>
      </c>
      <c r="E41" t="s">
        <v>40</v>
      </c>
      <c r="F41" t="s">
        <v>22</v>
      </c>
      <c r="G41">
        <v>1</v>
      </c>
      <c r="H41" s="3">
        <v>55.68</v>
      </c>
      <c r="I41" s="4">
        <v>0.15</v>
      </c>
      <c r="J41" s="3">
        <v>23.7</v>
      </c>
      <c r="K41" s="3">
        <f t="shared" si="0"/>
        <v>47.327999999999996</v>
      </c>
      <c r="L41" s="3">
        <f t="shared" si="1"/>
        <v>23.627999999999997</v>
      </c>
      <c r="M41" s="5">
        <f t="shared" si="2"/>
        <v>0.49923935091277888</v>
      </c>
    </row>
    <row r="42" spans="1:13">
      <c r="A42" t="s">
        <v>79</v>
      </c>
      <c r="B42" s="2">
        <v>46033</v>
      </c>
      <c r="C42" t="s">
        <v>14</v>
      </c>
      <c r="D42" t="s">
        <v>20</v>
      </c>
      <c r="E42" t="s">
        <v>35</v>
      </c>
      <c r="F42" t="s">
        <v>17</v>
      </c>
      <c r="G42">
        <v>4</v>
      </c>
      <c r="H42" s="3">
        <v>35.700000000000003</v>
      </c>
      <c r="I42" s="4">
        <v>0.1</v>
      </c>
      <c r="J42" s="3">
        <v>15.96</v>
      </c>
      <c r="K42" s="3">
        <f t="shared" si="0"/>
        <v>128.52000000000001</v>
      </c>
      <c r="L42" s="3">
        <f t="shared" si="1"/>
        <v>64.680000000000007</v>
      </c>
      <c r="M42" s="5">
        <f t="shared" si="2"/>
        <v>0.50326797385620914</v>
      </c>
    </row>
    <row r="43" spans="1:13">
      <c r="A43" t="s">
        <v>80</v>
      </c>
      <c r="B43" s="2">
        <v>46249</v>
      </c>
      <c r="C43" t="s">
        <v>30</v>
      </c>
      <c r="D43" t="s">
        <v>39</v>
      </c>
      <c r="E43" t="s">
        <v>65</v>
      </c>
      <c r="F43" t="s">
        <v>28</v>
      </c>
      <c r="G43">
        <v>3</v>
      </c>
      <c r="H43" s="3">
        <v>227.25</v>
      </c>
      <c r="I43" s="4">
        <v>0.2</v>
      </c>
      <c r="J43" s="3">
        <v>133.13</v>
      </c>
      <c r="K43" s="3">
        <f t="shared" si="0"/>
        <v>545.4</v>
      </c>
      <c r="L43" s="3">
        <f t="shared" si="1"/>
        <v>146.01</v>
      </c>
      <c r="M43" s="5">
        <f t="shared" si="2"/>
        <v>0.2677117711771177</v>
      </c>
    </row>
    <row r="44" spans="1:13">
      <c r="A44" t="s">
        <v>81</v>
      </c>
      <c r="B44" s="2">
        <v>46068</v>
      </c>
      <c r="C44" t="s">
        <v>19</v>
      </c>
      <c r="D44" t="s">
        <v>15</v>
      </c>
      <c r="E44" t="s">
        <v>82</v>
      </c>
      <c r="F44" t="s">
        <v>28</v>
      </c>
      <c r="G44">
        <v>4</v>
      </c>
      <c r="H44" s="3">
        <v>87.62</v>
      </c>
      <c r="I44" s="4">
        <v>0</v>
      </c>
      <c r="J44" s="3">
        <v>41.39</v>
      </c>
      <c r="K44" s="3">
        <f t="shared" si="0"/>
        <v>350.48</v>
      </c>
      <c r="L44" s="3">
        <f t="shared" si="1"/>
        <v>184.92000000000002</v>
      </c>
      <c r="M44" s="5">
        <f t="shared" si="2"/>
        <v>0.52761926500798906</v>
      </c>
    </row>
    <row r="45" spans="1:13">
      <c r="A45" t="s">
        <v>83</v>
      </c>
      <c r="B45" s="2">
        <v>46242</v>
      </c>
      <c r="C45" t="s">
        <v>27</v>
      </c>
      <c r="D45" t="s">
        <v>39</v>
      </c>
      <c r="E45" t="s">
        <v>54</v>
      </c>
      <c r="F45" t="s">
        <v>28</v>
      </c>
      <c r="G45">
        <v>6</v>
      </c>
      <c r="H45" s="3">
        <v>433.26</v>
      </c>
      <c r="I45" s="4">
        <v>0</v>
      </c>
      <c r="J45" s="3">
        <v>267.67</v>
      </c>
      <c r="K45" s="3">
        <f t="shared" si="0"/>
        <v>2599.56</v>
      </c>
      <c r="L45" s="3">
        <f t="shared" si="1"/>
        <v>993.54</v>
      </c>
      <c r="M45" s="5">
        <f t="shared" si="2"/>
        <v>0.38219544846050868</v>
      </c>
    </row>
    <row r="46" spans="1:13">
      <c r="A46" t="s">
        <v>84</v>
      </c>
      <c r="B46" s="2">
        <v>46191</v>
      </c>
      <c r="C46" t="s">
        <v>14</v>
      </c>
      <c r="D46" t="s">
        <v>15</v>
      </c>
      <c r="E46" t="s">
        <v>82</v>
      </c>
      <c r="F46" t="s">
        <v>47</v>
      </c>
      <c r="G46">
        <v>2</v>
      </c>
      <c r="H46" s="3">
        <v>83.74</v>
      </c>
      <c r="I46" s="4">
        <v>0.2</v>
      </c>
      <c r="J46" s="3">
        <v>42.51</v>
      </c>
      <c r="K46" s="3">
        <f t="shared" si="0"/>
        <v>133.98400000000001</v>
      </c>
      <c r="L46" s="3">
        <f t="shared" si="1"/>
        <v>48.964000000000013</v>
      </c>
      <c r="M46" s="5">
        <f t="shared" si="2"/>
        <v>0.36544662049199911</v>
      </c>
    </row>
    <row r="47" spans="1:13">
      <c r="A47" t="s">
        <v>85</v>
      </c>
      <c r="B47" s="2">
        <v>46196</v>
      </c>
      <c r="C47" t="s">
        <v>60</v>
      </c>
      <c r="D47" t="s">
        <v>15</v>
      </c>
      <c r="E47" t="s">
        <v>16</v>
      </c>
      <c r="F47" t="s">
        <v>33</v>
      </c>
      <c r="G47">
        <v>2</v>
      </c>
      <c r="H47" s="3">
        <v>68.849999999999994</v>
      </c>
      <c r="I47" s="4">
        <v>0.15</v>
      </c>
      <c r="J47" s="3">
        <v>32.29</v>
      </c>
      <c r="K47" s="3">
        <f t="shared" si="0"/>
        <v>117.04499999999999</v>
      </c>
      <c r="L47" s="3">
        <f t="shared" si="1"/>
        <v>52.464999999999989</v>
      </c>
      <c r="M47" s="5">
        <f t="shared" si="2"/>
        <v>0.44824640095689688</v>
      </c>
    </row>
    <row r="48" spans="1:13">
      <c r="A48" t="s">
        <v>86</v>
      </c>
      <c r="B48" s="2">
        <v>46032</v>
      </c>
      <c r="C48" t="s">
        <v>14</v>
      </c>
      <c r="D48" t="s">
        <v>24</v>
      </c>
      <c r="E48" t="s">
        <v>45</v>
      </c>
      <c r="F48" t="s">
        <v>17</v>
      </c>
      <c r="G48">
        <v>6</v>
      </c>
      <c r="H48" s="3">
        <v>131.07</v>
      </c>
      <c r="I48" s="4">
        <v>0.05</v>
      </c>
      <c r="J48" s="3">
        <v>70.98</v>
      </c>
      <c r="K48" s="3">
        <f t="shared" si="0"/>
        <v>747.09899999999993</v>
      </c>
      <c r="L48" s="3">
        <f t="shared" si="1"/>
        <v>321.21899999999994</v>
      </c>
      <c r="M48" s="5">
        <f t="shared" si="2"/>
        <v>0.42995506619604629</v>
      </c>
    </row>
    <row r="49" spans="1:13">
      <c r="A49" t="s">
        <v>87</v>
      </c>
      <c r="B49" s="2">
        <v>46071</v>
      </c>
      <c r="C49" t="s">
        <v>14</v>
      </c>
      <c r="D49" t="s">
        <v>24</v>
      </c>
      <c r="E49" t="s">
        <v>25</v>
      </c>
      <c r="F49" t="s">
        <v>33</v>
      </c>
      <c r="G49">
        <v>4</v>
      </c>
      <c r="H49" s="3">
        <v>173.93</v>
      </c>
      <c r="I49" s="4">
        <v>0.05</v>
      </c>
      <c r="J49" s="3">
        <v>111.45</v>
      </c>
      <c r="K49" s="3">
        <f t="shared" si="0"/>
        <v>660.93399999999997</v>
      </c>
      <c r="L49" s="3">
        <f t="shared" si="1"/>
        <v>215.13399999999996</v>
      </c>
      <c r="M49" s="5">
        <f t="shared" si="2"/>
        <v>0.32549997427882355</v>
      </c>
    </row>
    <row r="50" spans="1:13">
      <c r="A50" t="s">
        <v>88</v>
      </c>
      <c r="B50" s="2">
        <v>46182</v>
      </c>
      <c r="C50" t="s">
        <v>14</v>
      </c>
      <c r="D50" t="s">
        <v>20</v>
      </c>
      <c r="E50" t="s">
        <v>37</v>
      </c>
      <c r="F50" t="s">
        <v>43</v>
      </c>
      <c r="G50">
        <v>5</v>
      </c>
      <c r="H50" s="3">
        <v>295.81</v>
      </c>
      <c r="I50" s="4">
        <v>0.05</v>
      </c>
      <c r="J50" s="3">
        <v>179.34</v>
      </c>
      <c r="K50" s="3">
        <f t="shared" si="0"/>
        <v>1405.0974999999999</v>
      </c>
      <c r="L50" s="3">
        <f t="shared" si="1"/>
        <v>508.39749999999981</v>
      </c>
      <c r="M50" s="5">
        <f t="shared" si="2"/>
        <v>0.3618236456900677</v>
      </c>
    </row>
    <row r="51" spans="1:13">
      <c r="A51" t="s">
        <v>89</v>
      </c>
      <c r="B51" s="2">
        <v>46098</v>
      </c>
      <c r="C51" t="s">
        <v>27</v>
      </c>
      <c r="D51" t="s">
        <v>39</v>
      </c>
      <c r="E51" t="s">
        <v>54</v>
      </c>
      <c r="F51" t="s">
        <v>33</v>
      </c>
      <c r="G51">
        <v>7</v>
      </c>
      <c r="H51" s="3">
        <v>437.33</v>
      </c>
      <c r="I51" s="4">
        <v>0.1</v>
      </c>
      <c r="J51" s="3">
        <v>272.91000000000003</v>
      </c>
      <c r="K51" s="3">
        <f t="shared" si="0"/>
        <v>2755.1790000000001</v>
      </c>
      <c r="L51" s="3">
        <f t="shared" si="1"/>
        <v>844.80899999999997</v>
      </c>
      <c r="M51" s="5">
        <f t="shared" si="2"/>
        <v>0.30662581269674311</v>
      </c>
    </row>
    <row r="52" spans="1:13">
      <c r="A52" t="s">
        <v>90</v>
      </c>
      <c r="B52" s="2">
        <v>46126</v>
      </c>
      <c r="C52" t="s">
        <v>27</v>
      </c>
      <c r="D52" t="s">
        <v>20</v>
      </c>
      <c r="E52" t="s">
        <v>35</v>
      </c>
      <c r="F52" t="s">
        <v>33</v>
      </c>
      <c r="G52">
        <v>5</v>
      </c>
      <c r="H52" s="3">
        <v>36.08</v>
      </c>
      <c r="I52" s="4">
        <v>0</v>
      </c>
      <c r="J52" s="3">
        <v>16.170000000000002</v>
      </c>
      <c r="K52" s="3">
        <f t="shared" si="0"/>
        <v>180.39999999999998</v>
      </c>
      <c r="L52" s="3">
        <f t="shared" si="1"/>
        <v>99.549999999999969</v>
      </c>
      <c r="M52" s="5">
        <f t="shared" si="2"/>
        <v>0.55182926829268286</v>
      </c>
    </row>
    <row r="53" spans="1:13">
      <c r="A53" t="s">
        <v>91</v>
      </c>
      <c r="B53" s="2">
        <v>46142</v>
      </c>
      <c r="C53" t="s">
        <v>27</v>
      </c>
      <c r="D53" t="s">
        <v>39</v>
      </c>
      <c r="E53" t="s">
        <v>40</v>
      </c>
      <c r="F53" t="s">
        <v>43</v>
      </c>
      <c r="G53">
        <v>8</v>
      </c>
      <c r="H53" s="3">
        <v>57.55</v>
      </c>
      <c r="I53" s="4">
        <v>0.1</v>
      </c>
      <c r="J53" s="3">
        <v>24.4</v>
      </c>
      <c r="K53" s="3">
        <f t="shared" si="0"/>
        <v>414.36</v>
      </c>
      <c r="L53" s="3">
        <f t="shared" si="1"/>
        <v>219.16000000000003</v>
      </c>
      <c r="M53" s="5">
        <f t="shared" si="2"/>
        <v>0.52891205714837342</v>
      </c>
    </row>
    <row r="54" spans="1:13">
      <c r="A54" t="s">
        <v>92</v>
      </c>
      <c r="B54" s="2">
        <v>46044</v>
      </c>
      <c r="C54" t="s">
        <v>14</v>
      </c>
      <c r="D54" t="s">
        <v>15</v>
      </c>
      <c r="E54" t="s">
        <v>16</v>
      </c>
      <c r="F54" t="s">
        <v>28</v>
      </c>
      <c r="G54">
        <v>4</v>
      </c>
      <c r="H54" s="3">
        <v>68.62</v>
      </c>
      <c r="I54" s="4">
        <v>0.1</v>
      </c>
      <c r="J54" s="3">
        <v>31.68</v>
      </c>
      <c r="K54" s="3">
        <f t="shared" si="0"/>
        <v>247.03200000000001</v>
      </c>
      <c r="L54" s="3">
        <f t="shared" si="1"/>
        <v>120.31200000000001</v>
      </c>
      <c r="M54" s="5">
        <f t="shared" si="2"/>
        <v>0.4870300204022151</v>
      </c>
    </row>
    <row r="55" spans="1:13">
      <c r="A55" t="s">
        <v>93</v>
      </c>
      <c r="B55" s="2">
        <v>46034</v>
      </c>
      <c r="C55" t="s">
        <v>14</v>
      </c>
      <c r="D55" t="s">
        <v>24</v>
      </c>
      <c r="E55" t="s">
        <v>56</v>
      </c>
      <c r="F55" t="s">
        <v>43</v>
      </c>
      <c r="G55">
        <v>2</v>
      </c>
      <c r="H55" s="3">
        <v>67.58</v>
      </c>
      <c r="I55" s="4">
        <v>0.05</v>
      </c>
      <c r="J55" s="3">
        <v>29.25</v>
      </c>
      <c r="K55" s="3">
        <f t="shared" si="0"/>
        <v>128.40199999999999</v>
      </c>
      <c r="L55" s="3">
        <f t="shared" si="1"/>
        <v>69.901999999999987</v>
      </c>
      <c r="M55" s="5">
        <f t="shared" si="2"/>
        <v>0.54439961994361452</v>
      </c>
    </row>
    <row r="56" spans="1:13">
      <c r="A56" t="s">
        <v>94</v>
      </c>
      <c r="B56" s="2">
        <v>46201</v>
      </c>
      <c r="C56" t="s">
        <v>27</v>
      </c>
      <c r="D56" t="s">
        <v>24</v>
      </c>
      <c r="E56" t="s">
        <v>25</v>
      </c>
      <c r="F56" t="s">
        <v>28</v>
      </c>
      <c r="G56">
        <v>3</v>
      </c>
      <c r="H56" s="3">
        <v>172.89</v>
      </c>
      <c r="I56" s="4">
        <v>0.1</v>
      </c>
      <c r="J56" s="3">
        <v>111.93</v>
      </c>
      <c r="K56" s="3">
        <f t="shared" si="0"/>
        <v>466.803</v>
      </c>
      <c r="L56" s="3">
        <f t="shared" si="1"/>
        <v>131.01299999999998</v>
      </c>
      <c r="M56" s="5">
        <f t="shared" si="2"/>
        <v>0.28066014999903593</v>
      </c>
    </row>
    <row r="57" spans="1:13">
      <c r="A57" t="s">
        <v>95</v>
      </c>
      <c r="B57" s="2">
        <v>46222</v>
      </c>
      <c r="C57" t="s">
        <v>27</v>
      </c>
      <c r="D57" t="s">
        <v>39</v>
      </c>
      <c r="E57" t="s">
        <v>40</v>
      </c>
      <c r="F57" t="s">
        <v>47</v>
      </c>
      <c r="G57">
        <v>8</v>
      </c>
      <c r="H57" s="3">
        <v>54.03</v>
      </c>
      <c r="I57" s="4">
        <v>0</v>
      </c>
      <c r="J57" s="3">
        <v>24.54</v>
      </c>
      <c r="K57" s="3">
        <f t="shared" si="0"/>
        <v>432.24</v>
      </c>
      <c r="L57" s="3">
        <f t="shared" si="1"/>
        <v>235.92000000000002</v>
      </c>
      <c r="M57" s="5">
        <f t="shared" si="2"/>
        <v>0.5458078845086064</v>
      </c>
    </row>
    <row r="58" spans="1:13">
      <c r="A58" t="s">
        <v>96</v>
      </c>
      <c r="B58" s="2">
        <v>46057</v>
      </c>
      <c r="C58" t="s">
        <v>30</v>
      </c>
      <c r="D58" t="s">
        <v>15</v>
      </c>
      <c r="E58" t="s">
        <v>82</v>
      </c>
      <c r="F58" t="s">
        <v>43</v>
      </c>
      <c r="G58">
        <v>7</v>
      </c>
      <c r="H58" s="3">
        <v>85.79</v>
      </c>
      <c r="I58" s="4">
        <v>0.15</v>
      </c>
      <c r="J58" s="3">
        <v>43.04</v>
      </c>
      <c r="K58" s="3">
        <f t="shared" si="0"/>
        <v>510.45050000000003</v>
      </c>
      <c r="L58" s="3">
        <f t="shared" si="1"/>
        <v>209.17050000000006</v>
      </c>
      <c r="M58" s="5">
        <f t="shared" si="2"/>
        <v>0.40977626625892238</v>
      </c>
    </row>
    <row r="59" spans="1:13">
      <c r="A59" t="s">
        <v>97</v>
      </c>
      <c r="B59" s="2">
        <v>46243</v>
      </c>
      <c r="C59" t="s">
        <v>27</v>
      </c>
      <c r="D59" t="s">
        <v>15</v>
      </c>
      <c r="E59" t="s">
        <v>16</v>
      </c>
      <c r="F59" t="s">
        <v>33</v>
      </c>
      <c r="G59">
        <v>5</v>
      </c>
      <c r="H59" s="3">
        <v>70.48</v>
      </c>
      <c r="I59" s="4">
        <v>0.1</v>
      </c>
      <c r="J59" s="3">
        <v>32.36</v>
      </c>
      <c r="K59" s="3">
        <f t="shared" si="0"/>
        <v>317.16000000000003</v>
      </c>
      <c r="L59" s="3">
        <f t="shared" si="1"/>
        <v>155.36000000000001</v>
      </c>
      <c r="M59" s="5">
        <f t="shared" si="2"/>
        <v>0.48984739563627194</v>
      </c>
    </row>
    <row r="60" spans="1:13">
      <c r="A60" t="s">
        <v>98</v>
      </c>
      <c r="B60" s="2">
        <v>46135</v>
      </c>
      <c r="C60" t="s">
        <v>14</v>
      </c>
      <c r="D60" t="s">
        <v>15</v>
      </c>
      <c r="E60" t="s">
        <v>16</v>
      </c>
      <c r="F60" t="s">
        <v>22</v>
      </c>
      <c r="G60">
        <v>5</v>
      </c>
      <c r="H60" s="3">
        <v>72.83</v>
      </c>
      <c r="I60" s="4">
        <v>0</v>
      </c>
      <c r="J60" s="3">
        <v>31.49</v>
      </c>
      <c r="K60" s="3">
        <f t="shared" si="0"/>
        <v>364.15</v>
      </c>
      <c r="L60" s="3">
        <f t="shared" si="1"/>
        <v>206.7</v>
      </c>
      <c r="M60" s="5">
        <f t="shared" si="2"/>
        <v>0.56762323218453936</v>
      </c>
    </row>
    <row r="61" spans="1:13">
      <c r="A61" t="s">
        <v>99</v>
      </c>
      <c r="B61" s="2">
        <v>46082</v>
      </c>
      <c r="C61" t="s">
        <v>27</v>
      </c>
      <c r="D61" t="s">
        <v>39</v>
      </c>
      <c r="E61" t="s">
        <v>40</v>
      </c>
      <c r="F61" t="s">
        <v>47</v>
      </c>
      <c r="G61">
        <v>4</v>
      </c>
      <c r="H61" s="3">
        <v>54.82</v>
      </c>
      <c r="I61" s="4">
        <v>0</v>
      </c>
      <c r="J61" s="3">
        <v>24.17</v>
      </c>
      <c r="K61" s="3">
        <f t="shared" si="0"/>
        <v>219.28</v>
      </c>
      <c r="L61" s="3">
        <f t="shared" si="1"/>
        <v>122.6</v>
      </c>
      <c r="M61" s="5">
        <f t="shared" si="2"/>
        <v>0.55910251732944183</v>
      </c>
    </row>
    <row r="62" spans="1:13">
      <c r="A62" t="s">
        <v>100</v>
      </c>
      <c r="B62" s="2">
        <v>46038</v>
      </c>
      <c r="C62" t="s">
        <v>14</v>
      </c>
      <c r="D62" t="s">
        <v>24</v>
      </c>
      <c r="E62" t="s">
        <v>45</v>
      </c>
      <c r="F62" t="s">
        <v>28</v>
      </c>
      <c r="G62">
        <v>1</v>
      </c>
      <c r="H62" s="3">
        <v>128.61000000000001</v>
      </c>
      <c r="I62" s="4">
        <v>0.15</v>
      </c>
      <c r="J62" s="3">
        <v>71.930000000000007</v>
      </c>
      <c r="K62" s="3">
        <f t="shared" si="0"/>
        <v>109.31850000000001</v>
      </c>
      <c r="L62" s="3">
        <f t="shared" si="1"/>
        <v>37.388500000000008</v>
      </c>
      <c r="M62" s="5">
        <f t="shared" si="2"/>
        <v>0.34201438914730814</v>
      </c>
    </row>
    <row r="63" spans="1:13">
      <c r="A63" t="s">
        <v>101</v>
      </c>
      <c r="B63" s="2">
        <v>46264</v>
      </c>
      <c r="C63" t="s">
        <v>14</v>
      </c>
      <c r="D63" t="s">
        <v>24</v>
      </c>
      <c r="E63" t="s">
        <v>45</v>
      </c>
      <c r="F63" t="s">
        <v>47</v>
      </c>
      <c r="G63">
        <v>4</v>
      </c>
      <c r="H63" s="3">
        <v>123.07</v>
      </c>
      <c r="I63" s="4">
        <v>0.05</v>
      </c>
      <c r="J63" s="3">
        <v>72.31</v>
      </c>
      <c r="K63" s="3">
        <f t="shared" si="0"/>
        <v>467.66599999999994</v>
      </c>
      <c r="L63" s="3">
        <f t="shared" si="1"/>
        <v>178.42599999999993</v>
      </c>
      <c r="M63" s="5">
        <f t="shared" si="2"/>
        <v>0.3815244212750124</v>
      </c>
    </row>
    <row r="64" spans="1:13">
      <c r="A64" t="s">
        <v>102</v>
      </c>
      <c r="B64" s="2">
        <v>46109</v>
      </c>
      <c r="C64" t="s">
        <v>19</v>
      </c>
      <c r="D64" t="s">
        <v>24</v>
      </c>
      <c r="E64" t="s">
        <v>56</v>
      </c>
      <c r="F64" t="s">
        <v>17</v>
      </c>
      <c r="G64">
        <v>3</v>
      </c>
      <c r="H64" s="3">
        <v>67.78</v>
      </c>
      <c r="I64" s="4">
        <v>0.15</v>
      </c>
      <c r="J64" s="3">
        <v>29.84</v>
      </c>
      <c r="K64" s="3">
        <f t="shared" si="0"/>
        <v>172.839</v>
      </c>
      <c r="L64" s="3">
        <f t="shared" si="1"/>
        <v>83.319000000000003</v>
      </c>
      <c r="M64" s="5">
        <f t="shared" si="2"/>
        <v>0.4820613403224967</v>
      </c>
    </row>
    <row r="65" spans="1:13">
      <c r="A65" t="s">
        <v>103</v>
      </c>
      <c r="B65" s="2">
        <v>46029</v>
      </c>
      <c r="C65" t="s">
        <v>60</v>
      </c>
      <c r="D65" t="s">
        <v>20</v>
      </c>
      <c r="E65" t="s">
        <v>21</v>
      </c>
      <c r="F65" t="s">
        <v>47</v>
      </c>
      <c r="G65">
        <v>7</v>
      </c>
      <c r="H65" s="3">
        <v>1201.8599999999999</v>
      </c>
      <c r="I65" s="4">
        <v>0</v>
      </c>
      <c r="J65" s="3">
        <v>835.14</v>
      </c>
      <c r="K65" s="3">
        <f t="shared" si="0"/>
        <v>8413.0199999999986</v>
      </c>
      <c r="L65" s="3">
        <f t="shared" si="1"/>
        <v>2567.0399999999991</v>
      </c>
      <c r="M65" s="5">
        <f t="shared" si="2"/>
        <v>0.30512705306774496</v>
      </c>
    </row>
    <row r="66" spans="1:13">
      <c r="A66" t="s">
        <v>104</v>
      </c>
      <c r="B66" s="2">
        <v>46106</v>
      </c>
      <c r="C66" t="s">
        <v>14</v>
      </c>
      <c r="D66" t="s">
        <v>15</v>
      </c>
      <c r="E66" t="s">
        <v>82</v>
      </c>
      <c r="F66" t="s">
        <v>28</v>
      </c>
      <c r="G66">
        <v>7</v>
      </c>
      <c r="H66" s="3">
        <v>88.88</v>
      </c>
      <c r="I66" s="4">
        <v>0</v>
      </c>
      <c r="J66" s="3">
        <v>42.05</v>
      </c>
      <c r="K66" s="3">
        <f t="shared" ref="K66:K129" si="3">G66*H66*(1-I66)</f>
        <v>622.16</v>
      </c>
      <c r="L66" s="3">
        <f t="shared" ref="L66:L129" si="4">K66-(G66*J66)</f>
        <v>327.81</v>
      </c>
      <c r="M66" s="5">
        <f t="shared" ref="M66:M129" si="5">IFERROR(L66/K66,0)</f>
        <v>0.52689018901890194</v>
      </c>
    </row>
    <row r="67" spans="1:13">
      <c r="A67" t="s">
        <v>105</v>
      </c>
      <c r="B67" s="2">
        <v>46143</v>
      </c>
      <c r="C67" t="s">
        <v>14</v>
      </c>
      <c r="D67" t="s">
        <v>20</v>
      </c>
      <c r="E67" t="s">
        <v>35</v>
      </c>
      <c r="F67" t="s">
        <v>28</v>
      </c>
      <c r="G67">
        <v>4</v>
      </c>
      <c r="H67" s="3">
        <v>36.06</v>
      </c>
      <c r="I67" s="4">
        <v>0.1</v>
      </c>
      <c r="J67" s="3">
        <v>16.2</v>
      </c>
      <c r="K67" s="3">
        <f t="shared" si="3"/>
        <v>129.816</v>
      </c>
      <c r="L67" s="3">
        <f t="shared" si="4"/>
        <v>65.016000000000005</v>
      </c>
      <c r="M67" s="5">
        <f t="shared" si="5"/>
        <v>0.50083194675540765</v>
      </c>
    </row>
    <row r="68" spans="1:13">
      <c r="A68" t="s">
        <v>106</v>
      </c>
      <c r="B68" s="2">
        <v>46086</v>
      </c>
      <c r="C68" t="s">
        <v>14</v>
      </c>
      <c r="D68" t="s">
        <v>20</v>
      </c>
      <c r="E68" t="s">
        <v>37</v>
      </c>
      <c r="F68" t="s">
        <v>22</v>
      </c>
      <c r="G68">
        <v>3</v>
      </c>
      <c r="H68" s="3">
        <v>290.76</v>
      </c>
      <c r="I68" s="4">
        <v>0</v>
      </c>
      <c r="J68" s="3">
        <v>177.43</v>
      </c>
      <c r="K68" s="3">
        <f t="shared" si="3"/>
        <v>872.28</v>
      </c>
      <c r="L68" s="3">
        <f t="shared" si="4"/>
        <v>339.99</v>
      </c>
      <c r="M68" s="5">
        <f t="shared" si="5"/>
        <v>0.38977163296189299</v>
      </c>
    </row>
    <row r="69" spans="1:13">
      <c r="A69" t="s">
        <v>107</v>
      </c>
      <c r="B69" s="2">
        <v>46142</v>
      </c>
      <c r="C69" t="s">
        <v>19</v>
      </c>
      <c r="D69" t="s">
        <v>15</v>
      </c>
      <c r="E69" t="s">
        <v>16</v>
      </c>
      <c r="F69" t="s">
        <v>17</v>
      </c>
      <c r="G69">
        <v>2</v>
      </c>
      <c r="H69" s="3">
        <v>68.23</v>
      </c>
      <c r="I69" s="4">
        <v>0.1</v>
      </c>
      <c r="J69" s="3">
        <v>31.86</v>
      </c>
      <c r="K69" s="3">
        <f t="shared" si="3"/>
        <v>122.81400000000001</v>
      </c>
      <c r="L69" s="3">
        <f t="shared" si="4"/>
        <v>59.094000000000008</v>
      </c>
      <c r="M69" s="5">
        <f t="shared" si="5"/>
        <v>0.48116664223948413</v>
      </c>
    </row>
    <row r="70" spans="1:13">
      <c r="A70" t="s">
        <v>108</v>
      </c>
      <c r="B70" s="2">
        <v>46029</v>
      </c>
      <c r="C70" t="s">
        <v>60</v>
      </c>
      <c r="D70" t="s">
        <v>24</v>
      </c>
      <c r="E70" t="s">
        <v>45</v>
      </c>
      <c r="F70" t="s">
        <v>28</v>
      </c>
      <c r="G70">
        <v>4</v>
      </c>
      <c r="H70" s="3">
        <v>127.77</v>
      </c>
      <c r="I70" s="4">
        <v>0</v>
      </c>
      <c r="J70" s="3">
        <v>72.819999999999993</v>
      </c>
      <c r="K70" s="3">
        <f t="shared" si="3"/>
        <v>511.08</v>
      </c>
      <c r="L70" s="3">
        <f t="shared" si="4"/>
        <v>219.8</v>
      </c>
      <c r="M70" s="5">
        <f t="shared" si="5"/>
        <v>0.43006965641386868</v>
      </c>
    </row>
    <row r="71" spans="1:13">
      <c r="A71" t="s">
        <v>109</v>
      </c>
      <c r="B71" s="2">
        <v>46201</v>
      </c>
      <c r="C71" t="s">
        <v>30</v>
      </c>
      <c r="D71" t="s">
        <v>20</v>
      </c>
      <c r="E71" t="s">
        <v>37</v>
      </c>
      <c r="F71" t="s">
        <v>17</v>
      </c>
      <c r="G71">
        <v>1</v>
      </c>
      <c r="H71" s="3">
        <v>289.58</v>
      </c>
      <c r="I71" s="4">
        <v>0</v>
      </c>
      <c r="J71" s="3">
        <v>179.74</v>
      </c>
      <c r="K71" s="3">
        <f t="shared" si="3"/>
        <v>289.58</v>
      </c>
      <c r="L71" s="3">
        <f t="shared" si="4"/>
        <v>109.83999999999997</v>
      </c>
      <c r="M71" s="5">
        <f t="shared" si="5"/>
        <v>0.37930796325713095</v>
      </c>
    </row>
    <row r="72" spans="1:13">
      <c r="A72" t="s">
        <v>110</v>
      </c>
      <c r="B72" s="2">
        <v>46188</v>
      </c>
      <c r="C72" t="s">
        <v>14</v>
      </c>
      <c r="D72" t="s">
        <v>24</v>
      </c>
      <c r="E72" t="s">
        <v>45</v>
      </c>
      <c r="F72" t="s">
        <v>47</v>
      </c>
      <c r="G72">
        <v>2</v>
      </c>
      <c r="H72" s="3">
        <v>124.07</v>
      </c>
      <c r="I72" s="4">
        <v>0.05</v>
      </c>
      <c r="J72" s="3">
        <v>73.77</v>
      </c>
      <c r="K72" s="3">
        <f t="shared" si="3"/>
        <v>235.73299999999998</v>
      </c>
      <c r="L72" s="3">
        <f t="shared" si="4"/>
        <v>88.192999999999984</v>
      </c>
      <c r="M72" s="5">
        <f t="shared" si="5"/>
        <v>0.3741224181595279</v>
      </c>
    </row>
    <row r="73" spans="1:13">
      <c r="A73" t="s">
        <v>111</v>
      </c>
      <c r="B73" s="2">
        <v>46204</v>
      </c>
      <c r="C73" t="s">
        <v>14</v>
      </c>
      <c r="D73" t="s">
        <v>39</v>
      </c>
      <c r="E73" t="s">
        <v>40</v>
      </c>
      <c r="F73" t="s">
        <v>47</v>
      </c>
      <c r="G73">
        <v>5</v>
      </c>
      <c r="H73" s="3">
        <v>57.35</v>
      </c>
      <c r="I73" s="4">
        <v>0.1</v>
      </c>
      <c r="J73" s="3">
        <v>24.45</v>
      </c>
      <c r="K73" s="3">
        <f t="shared" si="3"/>
        <v>258.07499999999999</v>
      </c>
      <c r="L73" s="3">
        <f t="shared" si="4"/>
        <v>135.82499999999999</v>
      </c>
      <c r="M73" s="5">
        <f t="shared" si="5"/>
        <v>0.52630049404242951</v>
      </c>
    </row>
    <row r="74" spans="1:13">
      <c r="A74" t="s">
        <v>112</v>
      </c>
      <c r="B74" s="2">
        <v>46134</v>
      </c>
      <c r="C74" t="s">
        <v>30</v>
      </c>
      <c r="D74" t="s">
        <v>15</v>
      </c>
      <c r="E74" t="s">
        <v>82</v>
      </c>
      <c r="F74" t="s">
        <v>22</v>
      </c>
      <c r="G74">
        <v>4</v>
      </c>
      <c r="H74" s="3">
        <v>82.26</v>
      </c>
      <c r="I74" s="4">
        <v>0.15</v>
      </c>
      <c r="J74" s="3">
        <v>43.01</v>
      </c>
      <c r="K74" s="3">
        <f t="shared" si="3"/>
        <v>279.68400000000003</v>
      </c>
      <c r="L74" s="3">
        <f t="shared" si="4"/>
        <v>107.64400000000003</v>
      </c>
      <c r="M74" s="5">
        <f t="shared" si="5"/>
        <v>0.38487721857524931</v>
      </c>
    </row>
    <row r="75" spans="1:13">
      <c r="A75" t="s">
        <v>113</v>
      </c>
      <c r="B75" s="2">
        <v>46215</v>
      </c>
      <c r="C75" t="s">
        <v>27</v>
      </c>
      <c r="D75" t="s">
        <v>24</v>
      </c>
      <c r="E75" t="s">
        <v>45</v>
      </c>
      <c r="F75" t="s">
        <v>33</v>
      </c>
      <c r="G75">
        <v>1</v>
      </c>
      <c r="H75" s="3">
        <v>123.66</v>
      </c>
      <c r="I75" s="4">
        <v>0.05</v>
      </c>
      <c r="J75" s="3">
        <v>72.319999999999993</v>
      </c>
      <c r="K75" s="3">
        <f t="shared" si="3"/>
        <v>117.47699999999999</v>
      </c>
      <c r="L75" s="3">
        <f t="shared" si="4"/>
        <v>45.156999999999996</v>
      </c>
      <c r="M75" s="5">
        <f t="shared" si="5"/>
        <v>0.38439013594150345</v>
      </c>
    </row>
    <row r="76" spans="1:13">
      <c r="A76" t="s">
        <v>114</v>
      </c>
      <c r="B76" s="2">
        <v>46227</v>
      </c>
      <c r="C76" t="s">
        <v>14</v>
      </c>
      <c r="D76" t="s">
        <v>15</v>
      </c>
      <c r="E76" t="s">
        <v>32</v>
      </c>
      <c r="F76" t="s">
        <v>22</v>
      </c>
      <c r="G76">
        <v>5</v>
      </c>
      <c r="H76" s="3">
        <v>95.62</v>
      </c>
      <c r="I76" s="4">
        <v>0.05</v>
      </c>
      <c r="J76" s="3">
        <v>47.5</v>
      </c>
      <c r="K76" s="3">
        <f t="shared" si="3"/>
        <v>454.19499999999999</v>
      </c>
      <c r="L76" s="3">
        <f t="shared" si="4"/>
        <v>216.69499999999999</v>
      </c>
      <c r="M76" s="5">
        <f t="shared" si="5"/>
        <v>0.47709684166492367</v>
      </c>
    </row>
    <row r="77" spans="1:13">
      <c r="A77" t="s">
        <v>115</v>
      </c>
      <c r="B77" s="2">
        <v>46207</v>
      </c>
      <c r="C77" t="s">
        <v>27</v>
      </c>
      <c r="D77" t="s">
        <v>39</v>
      </c>
      <c r="E77" t="s">
        <v>40</v>
      </c>
      <c r="F77" t="s">
        <v>28</v>
      </c>
      <c r="G77">
        <v>8</v>
      </c>
      <c r="H77" s="3">
        <v>55.23</v>
      </c>
      <c r="I77" s="4">
        <v>0.1</v>
      </c>
      <c r="J77" s="3">
        <v>24.47</v>
      </c>
      <c r="K77" s="3">
        <f t="shared" si="3"/>
        <v>397.65600000000001</v>
      </c>
      <c r="L77" s="3">
        <f t="shared" si="4"/>
        <v>201.89600000000002</v>
      </c>
      <c r="M77" s="5">
        <f t="shared" si="5"/>
        <v>0.50771521113726437</v>
      </c>
    </row>
    <row r="78" spans="1:13">
      <c r="A78" t="s">
        <v>116</v>
      </c>
      <c r="B78" s="2">
        <v>46098</v>
      </c>
      <c r="C78" t="s">
        <v>14</v>
      </c>
      <c r="D78" t="s">
        <v>39</v>
      </c>
      <c r="E78" t="s">
        <v>54</v>
      </c>
      <c r="F78" t="s">
        <v>43</v>
      </c>
      <c r="G78">
        <v>6</v>
      </c>
      <c r="H78" s="3">
        <v>423.27</v>
      </c>
      <c r="I78" s="4">
        <v>0.05</v>
      </c>
      <c r="J78" s="3">
        <v>270.33999999999997</v>
      </c>
      <c r="K78" s="3">
        <f t="shared" si="3"/>
        <v>2412.6389999999997</v>
      </c>
      <c r="L78" s="3">
        <f t="shared" si="4"/>
        <v>790.59899999999971</v>
      </c>
      <c r="M78" s="5">
        <f t="shared" si="5"/>
        <v>0.32769054964294275</v>
      </c>
    </row>
    <row r="79" spans="1:13">
      <c r="A79" t="s">
        <v>117</v>
      </c>
      <c r="B79" s="2">
        <v>46163</v>
      </c>
      <c r="C79" t="s">
        <v>14</v>
      </c>
      <c r="D79" t="s">
        <v>24</v>
      </c>
      <c r="E79" t="s">
        <v>45</v>
      </c>
      <c r="F79" t="s">
        <v>28</v>
      </c>
      <c r="G79">
        <v>5</v>
      </c>
      <c r="H79" s="3">
        <v>121.36</v>
      </c>
      <c r="I79" s="4">
        <v>0</v>
      </c>
      <c r="J79" s="3">
        <v>71.25</v>
      </c>
      <c r="K79" s="3">
        <f t="shared" si="3"/>
        <v>606.79999999999995</v>
      </c>
      <c r="L79" s="3">
        <f t="shared" si="4"/>
        <v>250.54999999999995</v>
      </c>
      <c r="M79" s="5">
        <f t="shared" si="5"/>
        <v>0.41290375741595248</v>
      </c>
    </row>
    <row r="80" spans="1:13">
      <c r="A80" t="s">
        <v>118</v>
      </c>
      <c r="B80" s="2">
        <v>46213</v>
      </c>
      <c r="C80" t="s">
        <v>27</v>
      </c>
      <c r="D80" t="s">
        <v>39</v>
      </c>
      <c r="E80" t="s">
        <v>65</v>
      </c>
      <c r="F80" t="s">
        <v>17</v>
      </c>
      <c r="G80">
        <v>4</v>
      </c>
      <c r="H80" s="3">
        <v>216.67</v>
      </c>
      <c r="I80" s="4">
        <v>0.1</v>
      </c>
      <c r="J80" s="3">
        <v>131.22999999999999</v>
      </c>
      <c r="K80" s="3">
        <f t="shared" si="3"/>
        <v>780.01199999999994</v>
      </c>
      <c r="L80" s="3">
        <f t="shared" si="4"/>
        <v>255.09199999999998</v>
      </c>
      <c r="M80" s="5">
        <f t="shared" si="5"/>
        <v>0.32703599431803615</v>
      </c>
    </row>
    <row r="81" spans="1:13">
      <c r="A81" t="s">
        <v>119</v>
      </c>
      <c r="B81" s="2">
        <v>46175</v>
      </c>
      <c r="C81" t="s">
        <v>14</v>
      </c>
      <c r="D81" t="s">
        <v>20</v>
      </c>
      <c r="E81" t="s">
        <v>21</v>
      </c>
      <c r="F81" t="s">
        <v>17</v>
      </c>
      <c r="G81">
        <v>5</v>
      </c>
      <c r="H81" s="3">
        <v>1171.3800000000001</v>
      </c>
      <c r="I81" s="4">
        <v>0</v>
      </c>
      <c r="J81" s="3">
        <v>833.6</v>
      </c>
      <c r="K81" s="3">
        <f t="shared" si="3"/>
        <v>5856.9000000000005</v>
      </c>
      <c r="L81" s="3">
        <f t="shared" si="4"/>
        <v>1688.9000000000005</v>
      </c>
      <c r="M81" s="5">
        <f t="shared" si="5"/>
        <v>0.28836073690860359</v>
      </c>
    </row>
    <row r="82" spans="1:13">
      <c r="A82" t="s">
        <v>120</v>
      </c>
      <c r="B82" s="2">
        <v>46055</v>
      </c>
      <c r="C82" t="s">
        <v>14</v>
      </c>
      <c r="D82" t="s">
        <v>20</v>
      </c>
      <c r="E82" t="s">
        <v>37</v>
      </c>
      <c r="F82" t="s">
        <v>47</v>
      </c>
      <c r="G82">
        <v>5</v>
      </c>
      <c r="H82" s="3">
        <v>281.7</v>
      </c>
      <c r="I82" s="4">
        <v>0.1</v>
      </c>
      <c r="J82" s="3">
        <v>184.22</v>
      </c>
      <c r="K82" s="3">
        <f t="shared" si="3"/>
        <v>1267.6500000000001</v>
      </c>
      <c r="L82" s="3">
        <f t="shared" si="4"/>
        <v>346.55000000000007</v>
      </c>
      <c r="M82" s="5">
        <f t="shared" si="5"/>
        <v>0.27337987614877929</v>
      </c>
    </row>
    <row r="83" spans="1:13">
      <c r="A83" t="s">
        <v>121</v>
      </c>
      <c r="B83" s="2">
        <v>46049</v>
      </c>
      <c r="C83" t="s">
        <v>30</v>
      </c>
      <c r="D83" t="s">
        <v>15</v>
      </c>
      <c r="E83" t="s">
        <v>82</v>
      </c>
      <c r="F83" t="s">
        <v>47</v>
      </c>
      <c r="G83">
        <v>8</v>
      </c>
      <c r="H83" s="3">
        <v>83.01</v>
      </c>
      <c r="I83" s="4">
        <v>0.05</v>
      </c>
      <c r="J83" s="3">
        <v>41.27</v>
      </c>
      <c r="K83" s="3">
        <f t="shared" si="3"/>
        <v>630.87599999999998</v>
      </c>
      <c r="L83" s="3">
        <f t="shared" si="4"/>
        <v>300.71599999999995</v>
      </c>
      <c r="M83" s="5">
        <f t="shared" si="5"/>
        <v>0.47666419391449344</v>
      </c>
    </row>
    <row r="84" spans="1:13">
      <c r="A84" t="s">
        <v>122</v>
      </c>
      <c r="B84" s="2">
        <v>46052</v>
      </c>
      <c r="C84" t="s">
        <v>30</v>
      </c>
      <c r="D84" t="s">
        <v>24</v>
      </c>
      <c r="E84" t="s">
        <v>45</v>
      </c>
      <c r="F84" t="s">
        <v>17</v>
      </c>
      <c r="G84">
        <v>2</v>
      </c>
      <c r="H84" s="3">
        <v>127.72</v>
      </c>
      <c r="I84" s="4">
        <v>0.05</v>
      </c>
      <c r="J84" s="3">
        <v>71.11</v>
      </c>
      <c r="K84" s="3">
        <f t="shared" si="3"/>
        <v>242.66799999999998</v>
      </c>
      <c r="L84" s="3">
        <f t="shared" si="4"/>
        <v>100.44799999999998</v>
      </c>
      <c r="M84" s="5">
        <f t="shared" si="5"/>
        <v>0.41393179158356269</v>
      </c>
    </row>
    <row r="85" spans="1:13">
      <c r="A85" t="s">
        <v>123</v>
      </c>
      <c r="B85" s="2">
        <v>46265</v>
      </c>
      <c r="C85" t="s">
        <v>14</v>
      </c>
      <c r="D85" t="s">
        <v>39</v>
      </c>
      <c r="E85" t="s">
        <v>65</v>
      </c>
      <c r="F85" t="s">
        <v>17</v>
      </c>
      <c r="G85">
        <v>7</v>
      </c>
      <c r="H85" s="3">
        <v>226.86</v>
      </c>
      <c r="I85" s="4">
        <v>0.1</v>
      </c>
      <c r="J85" s="3">
        <v>128.87</v>
      </c>
      <c r="K85" s="3">
        <f t="shared" si="3"/>
        <v>1429.2180000000001</v>
      </c>
      <c r="L85" s="3">
        <f t="shared" si="4"/>
        <v>527.12800000000004</v>
      </c>
      <c r="M85" s="5">
        <f t="shared" si="5"/>
        <v>0.36882267085916914</v>
      </c>
    </row>
    <row r="86" spans="1:13">
      <c r="A86" t="s">
        <v>124</v>
      </c>
      <c r="B86" s="2">
        <v>46120</v>
      </c>
      <c r="C86" t="s">
        <v>27</v>
      </c>
      <c r="D86" t="s">
        <v>24</v>
      </c>
      <c r="E86" t="s">
        <v>45</v>
      </c>
      <c r="F86" t="s">
        <v>43</v>
      </c>
      <c r="G86">
        <v>7</v>
      </c>
      <c r="H86" s="3">
        <v>126.99</v>
      </c>
      <c r="I86" s="4">
        <v>0</v>
      </c>
      <c r="J86" s="3">
        <v>72.75</v>
      </c>
      <c r="K86" s="3">
        <f t="shared" si="3"/>
        <v>888.93</v>
      </c>
      <c r="L86" s="3">
        <f t="shared" si="4"/>
        <v>379.67999999999995</v>
      </c>
      <c r="M86" s="5">
        <f t="shared" si="5"/>
        <v>0.42712024568863688</v>
      </c>
    </row>
    <row r="87" spans="1:13">
      <c r="A87" t="s">
        <v>125</v>
      </c>
      <c r="B87" s="2">
        <v>46048</v>
      </c>
      <c r="C87" t="s">
        <v>60</v>
      </c>
      <c r="D87" t="s">
        <v>39</v>
      </c>
      <c r="E87" t="s">
        <v>40</v>
      </c>
      <c r="F87" t="s">
        <v>17</v>
      </c>
      <c r="G87">
        <v>4</v>
      </c>
      <c r="H87" s="3">
        <v>53.2</v>
      </c>
      <c r="I87" s="4">
        <v>0</v>
      </c>
      <c r="J87" s="3">
        <v>23.81</v>
      </c>
      <c r="K87" s="3">
        <f t="shared" si="3"/>
        <v>212.8</v>
      </c>
      <c r="L87" s="3">
        <f t="shared" si="4"/>
        <v>117.56000000000002</v>
      </c>
      <c r="M87" s="5">
        <f t="shared" si="5"/>
        <v>0.5524436090225564</v>
      </c>
    </row>
    <row r="88" spans="1:13">
      <c r="A88" t="s">
        <v>126</v>
      </c>
      <c r="B88" s="2">
        <v>46042</v>
      </c>
      <c r="C88" t="s">
        <v>14</v>
      </c>
      <c r="D88" t="s">
        <v>24</v>
      </c>
      <c r="E88" t="s">
        <v>45</v>
      </c>
      <c r="F88" t="s">
        <v>43</v>
      </c>
      <c r="G88">
        <v>8</v>
      </c>
      <c r="H88" s="3">
        <v>122.6</v>
      </c>
      <c r="I88" s="4">
        <v>0</v>
      </c>
      <c r="J88" s="3">
        <v>73.11</v>
      </c>
      <c r="K88" s="3">
        <f t="shared" si="3"/>
        <v>980.8</v>
      </c>
      <c r="L88" s="3">
        <f t="shared" si="4"/>
        <v>395.91999999999996</v>
      </c>
      <c r="M88" s="5">
        <f t="shared" si="5"/>
        <v>0.40367047308319737</v>
      </c>
    </row>
    <row r="89" spans="1:13">
      <c r="A89" t="s">
        <v>127</v>
      </c>
      <c r="B89" s="2">
        <v>46243</v>
      </c>
      <c r="C89" t="s">
        <v>27</v>
      </c>
      <c r="D89" t="s">
        <v>39</v>
      </c>
      <c r="E89" t="s">
        <v>54</v>
      </c>
      <c r="F89" t="s">
        <v>33</v>
      </c>
      <c r="G89">
        <v>4</v>
      </c>
      <c r="H89" s="3">
        <v>423.78</v>
      </c>
      <c r="I89" s="4">
        <v>0.05</v>
      </c>
      <c r="J89" s="3">
        <v>273.33999999999997</v>
      </c>
      <c r="K89" s="3">
        <f t="shared" si="3"/>
        <v>1610.3639999999998</v>
      </c>
      <c r="L89" s="3">
        <f t="shared" si="4"/>
        <v>517.00399999999991</v>
      </c>
      <c r="M89" s="5">
        <f t="shared" si="5"/>
        <v>0.32104791214905448</v>
      </c>
    </row>
    <row r="90" spans="1:13">
      <c r="A90" t="s">
        <v>128</v>
      </c>
      <c r="B90" s="2">
        <v>46234</v>
      </c>
      <c r="C90" t="s">
        <v>14</v>
      </c>
      <c r="D90" t="s">
        <v>20</v>
      </c>
      <c r="E90" t="s">
        <v>21</v>
      </c>
      <c r="F90" t="s">
        <v>47</v>
      </c>
      <c r="G90">
        <v>5</v>
      </c>
      <c r="H90" s="3">
        <v>1241.02</v>
      </c>
      <c r="I90" s="4">
        <v>0.05</v>
      </c>
      <c r="J90" s="3">
        <v>872.15</v>
      </c>
      <c r="K90" s="3">
        <f t="shared" si="3"/>
        <v>5894.8450000000003</v>
      </c>
      <c r="L90" s="3">
        <f t="shared" si="4"/>
        <v>1534.0950000000003</v>
      </c>
      <c r="M90" s="5">
        <f t="shared" si="5"/>
        <v>0.26024348392536195</v>
      </c>
    </row>
    <row r="91" spans="1:13">
      <c r="A91" t="s">
        <v>129</v>
      </c>
      <c r="B91" s="2">
        <v>46054</v>
      </c>
      <c r="C91" t="s">
        <v>27</v>
      </c>
      <c r="D91" t="s">
        <v>15</v>
      </c>
      <c r="E91" t="s">
        <v>32</v>
      </c>
      <c r="F91" t="s">
        <v>28</v>
      </c>
      <c r="G91">
        <v>7</v>
      </c>
      <c r="H91" s="3">
        <v>95.48</v>
      </c>
      <c r="I91" s="4">
        <v>0.2</v>
      </c>
      <c r="J91" s="3">
        <v>48.23</v>
      </c>
      <c r="K91" s="3">
        <f t="shared" si="3"/>
        <v>534.68799999999999</v>
      </c>
      <c r="L91" s="3">
        <f t="shared" si="4"/>
        <v>197.07800000000003</v>
      </c>
      <c r="M91" s="5">
        <f t="shared" si="5"/>
        <v>0.36858504398826986</v>
      </c>
    </row>
    <row r="92" spans="1:13">
      <c r="A92" t="s">
        <v>130</v>
      </c>
      <c r="B92" s="2">
        <v>46176</v>
      </c>
      <c r="C92" t="s">
        <v>14</v>
      </c>
      <c r="D92" t="s">
        <v>24</v>
      </c>
      <c r="E92" t="s">
        <v>56</v>
      </c>
      <c r="F92" t="s">
        <v>43</v>
      </c>
      <c r="G92">
        <v>6</v>
      </c>
      <c r="H92" s="3">
        <v>62.55</v>
      </c>
      <c r="I92" s="4">
        <v>0.1</v>
      </c>
      <c r="J92" s="3">
        <v>28.75</v>
      </c>
      <c r="K92" s="3">
        <f t="shared" si="3"/>
        <v>337.77</v>
      </c>
      <c r="L92" s="3">
        <f t="shared" si="4"/>
        <v>165.26999999999998</v>
      </c>
      <c r="M92" s="5">
        <f t="shared" si="5"/>
        <v>0.48929745092814636</v>
      </c>
    </row>
    <row r="93" spans="1:13">
      <c r="A93" t="s">
        <v>131</v>
      </c>
      <c r="B93" s="2">
        <v>46237</v>
      </c>
      <c r="C93" t="s">
        <v>30</v>
      </c>
      <c r="D93" t="s">
        <v>20</v>
      </c>
      <c r="E93" t="s">
        <v>37</v>
      </c>
      <c r="F93" t="s">
        <v>17</v>
      </c>
      <c r="G93">
        <v>5</v>
      </c>
      <c r="H93" s="3">
        <v>298.32</v>
      </c>
      <c r="I93" s="4">
        <v>0.05</v>
      </c>
      <c r="J93" s="3">
        <v>177.98</v>
      </c>
      <c r="K93" s="3">
        <f t="shared" si="3"/>
        <v>1417.0199999999998</v>
      </c>
      <c r="L93" s="3">
        <f t="shared" si="4"/>
        <v>527.11999999999978</v>
      </c>
      <c r="M93" s="5">
        <f t="shared" si="5"/>
        <v>0.37199192671945341</v>
      </c>
    </row>
    <row r="94" spans="1:13">
      <c r="A94" t="s">
        <v>132</v>
      </c>
      <c r="B94" s="2">
        <v>46189</v>
      </c>
      <c r="C94" t="s">
        <v>27</v>
      </c>
      <c r="D94" t="s">
        <v>15</v>
      </c>
      <c r="E94" t="s">
        <v>16</v>
      </c>
      <c r="F94" t="s">
        <v>33</v>
      </c>
      <c r="G94">
        <v>7</v>
      </c>
      <c r="H94" s="3">
        <v>70.3</v>
      </c>
      <c r="I94" s="4">
        <v>0.1</v>
      </c>
      <c r="J94" s="3">
        <v>31.51</v>
      </c>
      <c r="K94" s="3">
        <f t="shared" si="3"/>
        <v>442.89</v>
      </c>
      <c r="L94" s="3">
        <f t="shared" si="4"/>
        <v>222.31999999999996</v>
      </c>
      <c r="M94" s="5">
        <f t="shared" si="5"/>
        <v>0.50197565987039661</v>
      </c>
    </row>
    <row r="95" spans="1:13">
      <c r="A95" t="s">
        <v>133</v>
      </c>
      <c r="B95" s="2">
        <v>46127</v>
      </c>
      <c r="C95" t="s">
        <v>14</v>
      </c>
      <c r="D95" t="s">
        <v>20</v>
      </c>
      <c r="E95" t="s">
        <v>21</v>
      </c>
      <c r="F95" t="s">
        <v>47</v>
      </c>
      <c r="G95">
        <v>6</v>
      </c>
      <c r="H95" s="3">
        <v>1205.51</v>
      </c>
      <c r="I95" s="4">
        <v>0.05</v>
      </c>
      <c r="J95" s="3">
        <v>861.16</v>
      </c>
      <c r="K95" s="3">
        <f t="shared" si="3"/>
        <v>6871.4069999999992</v>
      </c>
      <c r="L95" s="3">
        <f t="shared" si="4"/>
        <v>1704.4469999999992</v>
      </c>
      <c r="M95" s="5">
        <f t="shared" si="5"/>
        <v>0.24804919865756742</v>
      </c>
    </row>
    <row r="96" spans="1:13">
      <c r="A96" t="s">
        <v>134</v>
      </c>
      <c r="B96" s="2">
        <v>46231</v>
      </c>
      <c r="C96" t="s">
        <v>30</v>
      </c>
      <c r="D96" t="s">
        <v>20</v>
      </c>
      <c r="E96" t="s">
        <v>35</v>
      </c>
      <c r="F96" t="s">
        <v>47</v>
      </c>
      <c r="G96">
        <v>2</v>
      </c>
      <c r="H96" s="3">
        <v>34.619999999999997</v>
      </c>
      <c r="I96" s="4">
        <v>0</v>
      </c>
      <c r="J96" s="3">
        <v>16.46</v>
      </c>
      <c r="K96" s="3">
        <f t="shared" si="3"/>
        <v>69.239999999999995</v>
      </c>
      <c r="L96" s="3">
        <f t="shared" si="4"/>
        <v>36.319999999999993</v>
      </c>
      <c r="M96" s="5">
        <f t="shared" si="5"/>
        <v>0.52455228191796643</v>
      </c>
    </row>
    <row r="97" spans="1:13">
      <c r="A97" t="s">
        <v>135</v>
      </c>
      <c r="B97" s="2">
        <v>46244</v>
      </c>
      <c r="C97" t="s">
        <v>27</v>
      </c>
      <c r="D97" t="s">
        <v>20</v>
      </c>
      <c r="E97" t="s">
        <v>37</v>
      </c>
      <c r="F97" t="s">
        <v>47</v>
      </c>
      <c r="G97">
        <v>8</v>
      </c>
      <c r="H97" s="3">
        <v>283.3</v>
      </c>
      <c r="I97" s="4">
        <v>0.05</v>
      </c>
      <c r="J97" s="3">
        <v>179.66</v>
      </c>
      <c r="K97" s="3">
        <f t="shared" si="3"/>
        <v>2153.08</v>
      </c>
      <c r="L97" s="3">
        <f t="shared" si="4"/>
        <v>715.8</v>
      </c>
      <c r="M97" s="5">
        <f t="shared" si="5"/>
        <v>0.33245397291322198</v>
      </c>
    </row>
    <row r="98" spans="1:13">
      <c r="A98" t="s">
        <v>136</v>
      </c>
      <c r="B98" s="2">
        <v>46183</v>
      </c>
      <c r="C98" t="s">
        <v>27</v>
      </c>
      <c r="D98" t="s">
        <v>20</v>
      </c>
      <c r="E98" t="s">
        <v>21</v>
      </c>
      <c r="F98" t="s">
        <v>43</v>
      </c>
      <c r="G98">
        <v>5</v>
      </c>
      <c r="H98" s="3">
        <v>1252.19</v>
      </c>
      <c r="I98" s="4">
        <v>0.05</v>
      </c>
      <c r="J98" s="3">
        <v>851.62</v>
      </c>
      <c r="K98" s="3">
        <f t="shared" si="3"/>
        <v>5947.9025000000001</v>
      </c>
      <c r="L98" s="3">
        <f t="shared" si="4"/>
        <v>1689.8024999999998</v>
      </c>
      <c r="M98" s="5">
        <f t="shared" si="5"/>
        <v>0.28410057158805135</v>
      </c>
    </row>
    <row r="99" spans="1:13">
      <c r="A99" t="s">
        <v>137</v>
      </c>
      <c r="B99" s="2">
        <v>46147</v>
      </c>
      <c r="C99" t="s">
        <v>14</v>
      </c>
      <c r="D99" t="s">
        <v>39</v>
      </c>
      <c r="E99" t="s">
        <v>40</v>
      </c>
      <c r="F99" t="s">
        <v>22</v>
      </c>
      <c r="G99">
        <v>3</v>
      </c>
      <c r="H99" s="3">
        <v>52.87</v>
      </c>
      <c r="I99" s="4">
        <v>0</v>
      </c>
      <c r="J99" s="3">
        <v>24.01</v>
      </c>
      <c r="K99" s="3">
        <f t="shared" si="3"/>
        <v>158.60999999999999</v>
      </c>
      <c r="L99" s="3">
        <f t="shared" si="4"/>
        <v>86.579999999999984</v>
      </c>
      <c r="M99" s="5">
        <f t="shared" si="5"/>
        <v>0.54586722148666533</v>
      </c>
    </row>
    <row r="100" spans="1:13">
      <c r="A100" t="s">
        <v>138</v>
      </c>
      <c r="B100" s="2">
        <v>46238</v>
      </c>
      <c r="C100" t="s">
        <v>60</v>
      </c>
      <c r="D100" t="s">
        <v>24</v>
      </c>
      <c r="E100" t="s">
        <v>25</v>
      </c>
      <c r="F100" t="s">
        <v>33</v>
      </c>
      <c r="G100">
        <v>3</v>
      </c>
      <c r="H100" s="3">
        <v>184.41</v>
      </c>
      <c r="I100" s="4">
        <v>0.05</v>
      </c>
      <c r="J100" s="3">
        <v>110.6</v>
      </c>
      <c r="K100" s="3">
        <f t="shared" si="3"/>
        <v>525.56849999999997</v>
      </c>
      <c r="L100" s="3">
        <f t="shared" si="4"/>
        <v>193.76850000000002</v>
      </c>
      <c r="M100" s="5">
        <f t="shared" si="5"/>
        <v>0.36868362544558897</v>
      </c>
    </row>
    <row r="101" spans="1:13">
      <c r="A101" t="s">
        <v>139</v>
      </c>
      <c r="B101" s="2">
        <v>46129</v>
      </c>
      <c r="C101" t="s">
        <v>30</v>
      </c>
      <c r="D101" t="s">
        <v>24</v>
      </c>
      <c r="E101" t="s">
        <v>25</v>
      </c>
      <c r="F101" t="s">
        <v>17</v>
      </c>
      <c r="G101">
        <v>8</v>
      </c>
      <c r="H101" s="3">
        <v>179.01</v>
      </c>
      <c r="I101" s="4">
        <v>0.05</v>
      </c>
      <c r="J101" s="3">
        <v>112.87</v>
      </c>
      <c r="K101" s="3">
        <f t="shared" si="3"/>
        <v>1360.4759999999999</v>
      </c>
      <c r="L101" s="3">
        <f t="shared" si="4"/>
        <v>457.51599999999985</v>
      </c>
      <c r="M101" s="5">
        <f t="shared" si="5"/>
        <v>0.33629112163683877</v>
      </c>
    </row>
    <row r="102" spans="1:13">
      <c r="A102" t="s">
        <v>140</v>
      </c>
      <c r="B102" s="2">
        <v>46214</v>
      </c>
      <c r="C102" t="s">
        <v>30</v>
      </c>
      <c r="D102" t="s">
        <v>20</v>
      </c>
      <c r="E102" t="s">
        <v>35</v>
      </c>
      <c r="F102" t="s">
        <v>28</v>
      </c>
      <c r="G102">
        <v>7</v>
      </c>
      <c r="H102" s="3">
        <v>36.08</v>
      </c>
      <c r="I102" s="4">
        <v>0</v>
      </c>
      <c r="J102" s="3">
        <v>15.89</v>
      </c>
      <c r="K102" s="3">
        <f t="shared" si="3"/>
        <v>252.56</v>
      </c>
      <c r="L102" s="3">
        <f t="shared" si="4"/>
        <v>141.32999999999998</v>
      </c>
      <c r="M102" s="5">
        <f t="shared" si="5"/>
        <v>0.55958980044345896</v>
      </c>
    </row>
    <row r="103" spans="1:13">
      <c r="A103" t="s">
        <v>141</v>
      </c>
      <c r="B103" s="2">
        <v>46095</v>
      </c>
      <c r="C103" t="s">
        <v>19</v>
      </c>
      <c r="D103" t="s">
        <v>24</v>
      </c>
      <c r="E103" t="s">
        <v>25</v>
      </c>
      <c r="F103" t="s">
        <v>17</v>
      </c>
      <c r="G103">
        <v>8</v>
      </c>
      <c r="H103" s="3">
        <v>178.39</v>
      </c>
      <c r="I103" s="4">
        <v>0.05</v>
      </c>
      <c r="J103" s="3">
        <v>110.84</v>
      </c>
      <c r="K103" s="3">
        <f t="shared" si="3"/>
        <v>1355.7639999999999</v>
      </c>
      <c r="L103" s="3">
        <f t="shared" si="4"/>
        <v>469.04399999999987</v>
      </c>
      <c r="M103" s="5">
        <f t="shared" si="5"/>
        <v>0.34596286669361326</v>
      </c>
    </row>
    <row r="104" spans="1:13">
      <c r="A104" t="s">
        <v>142</v>
      </c>
      <c r="B104" s="2">
        <v>46119</v>
      </c>
      <c r="C104" t="s">
        <v>27</v>
      </c>
      <c r="D104" t="s">
        <v>15</v>
      </c>
      <c r="E104" t="s">
        <v>16</v>
      </c>
      <c r="F104" t="s">
        <v>28</v>
      </c>
      <c r="G104">
        <v>4</v>
      </c>
      <c r="H104" s="3">
        <v>68.67</v>
      </c>
      <c r="I104" s="4">
        <v>0.05</v>
      </c>
      <c r="J104" s="3">
        <v>32.6</v>
      </c>
      <c r="K104" s="3">
        <f t="shared" si="3"/>
        <v>260.94599999999997</v>
      </c>
      <c r="L104" s="3">
        <f t="shared" si="4"/>
        <v>130.54599999999996</v>
      </c>
      <c r="M104" s="5">
        <f t="shared" si="5"/>
        <v>0.50027975136618297</v>
      </c>
    </row>
    <row r="105" spans="1:13">
      <c r="A105" t="s">
        <v>143</v>
      </c>
      <c r="B105" s="2">
        <v>46104</v>
      </c>
      <c r="C105" t="s">
        <v>30</v>
      </c>
      <c r="D105" t="s">
        <v>24</v>
      </c>
      <c r="E105" t="s">
        <v>45</v>
      </c>
      <c r="F105" t="s">
        <v>17</v>
      </c>
      <c r="G105">
        <v>3</v>
      </c>
      <c r="H105" s="3">
        <v>120.42</v>
      </c>
      <c r="I105" s="4">
        <v>0.05</v>
      </c>
      <c r="J105" s="3">
        <v>72.37</v>
      </c>
      <c r="K105" s="3">
        <f t="shared" si="3"/>
        <v>343.197</v>
      </c>
      <c r="L105" s="3">
        <f t="shared" si="4"/>
        <v>126.08699999999999</v>
      </c>
      <c r="M105" s="5">
        <f t="shared" si="5"/>
        <v>0.36738957508369824</v>
      </c>
    </row>
    <row r="106" spans="1:13">
      <c r="A106" t="s">
        <v>144</v>
      </c>
      <c r="B106" s="2">
        <v>46107</v>
      </c>
      <c r="C106" t="s">
        <v>30</v>
      </c>
      <c r="D106" t="s">
        <v>24</v>
      </c>
      <c r="E106" t="s">
        <v>25</v>
      </c>
      <c r="F106" t="s">
        <v>22</v>
      </c>
      <c r="G106">
        <v>8</v>
      </c>
      <c r="H106" s="3">
        <v>175.14</v>
      </c>
      <c r="I106" s="4">
        <v>0</v>
      </c>
      <c r="J106" s="3">
        <v>112.59</v>
      </c>
      <c r="K106" s="3">
        <f t="shared" si="3"/>
        <v>1401.12</v>
      </c>
      <c r="L106" s="3">
        <f t="shared" si="4"/>
        <v>500.39999999999986</v>
      </c>
      <c r="M106" s="5">
        <f t="shared" si="5"/>
        <v>0.3571428571428571</v>
      </c>
    </row>
    <row r="107" spans="1:13">
      <c r="A107" t="s">
        <v>145</v>
      </c>
      <c r="B107" s="2">
        <v>46042</v>
      </c>
      <c r="C107" t="s">
        <v>27</v>
      </c>
      <c r="D107" t="s">
        <v>15</v>
      </c>
      <c r="E107" t="s">
        <v>82</v>
      </c>
      <c r="F107" t="s">
        <v>17</v>
      </c>
      <c r="G107">
        <v>7</v>
      </c>
      <c r="H107" s="3">
        <v>88.12</v>
      </c>
      <c r="I107" s="4">
        <v>0.1</v>
      </c>
      <c r="J107" s="3">
        <v>42.95</v>
      </c>
      <c r="K107" s="3">
        <f t="shared" si="3"/>
        <v>555.15600000000006</v>
      </c>
      <c r="L107" s="3">
        <f t="shared" si="4"/>
        <v>254.50600000000003</v>
      </c>
      <c r="M107" s="5">
        <f t="shared" si="5"/>
        <v>0.45844051041509054</v>
      </c>
    </row>
    <row r="108" spans="1:13">
      <c r="A108" t="s">
        <v>146</v>
      </c>
      <c r="B108" s="2">
        <v>46120</v>
      </c>
      <c r="C108" t="s">
        <v>60</v>
      </c>
      <c r="D108" t="s">
        <v>24</v>
      </c>
      <c r="E108" t="s">
        <v>56</v>
      </c>
      <c r="F108" t="s">
        <v>33</v>
      </c>
      <c r="G108">
        <v>1</v>
      </c>
      <c r="H108" s="3">
        <v>63.77</v>
      </c>
      <c r="I108" s="4">
        <v>0.1</v>
      </c>
      <c r="J108" s="3">
        <v>29.41</v>
      </c>
      <c r="K108" s="3">
        <f t="shared" si="3"/>
        <v>57.393000000000001</v>
      </c>
      <c r="L108" s="3">
        <f t="shared" si="4"/>
        <v>27.983000000000001</v>
      </c>
      <c r="M108" s="5">
        <f t="shared" si="5"/>
        <v>0.48756817033436134</v>
      </c>
    </row>
    <row r="109" spans="1:13">
      <c r="A109" t="s">
        <v>147</v>
      </c>
      <c r="B109" s="2">
        <v>46081</v>
      </c>
      <c r="C109" t="s">
        <v>30</v>
      </c>
      <c r="D109" t="s">
        <v>24</v>
      </c>
      <c r="E109" t="s">
        <v>25</v>
      </c>
      <c r="F109" t="s">
        <v>28</v>
      </c>
      <c r="G109">
        <v>2</v>
      </c>
      <c r="H109" s="3">
        <v>184.04</v>
      </c>
      <c r="I109" s="4">
        <v>0.05</v>
      </c>
      <c r="J109" s="3">
        <v>112.77</v>
      </c>
      <c r="K109" s="3">
        <f t="shared" si="3"/>
        <v>349.67599999999999</v>
      </c>
      <c r="L109" s="3">
        <f t="shared" si="4"/>
        <v>124.136</v>
      </c>
      <c r="M109" s="5">
        <f t="shared" si="5"/>
        <v>0.35500291698600989</v>
      </c>
    </row>
    <row r="110" spans="1:13">
      <c r="A110" t="s">
        <v>148</v>
      </c>
      <c r="B110" s="2">
        <v>46106</v>
      </c>
      <c r="C110" t="s">
        <v>30</v>
      </c>
      <c r="D110" t="s">
        <v>15</v>
      </c>
      <c r="E110" t="s">
        <v>82</v>
      </c>
      <c r="F110" t="s">
        <v>43</v>
      </c>
      <c r="G110">
        <v>6</v>
      </c>
      <c r="H110" s="3">
        <v>83.47</v>
      </c>
      <c r="I110" s="4">
        <v>0.05</v>
      </c>
      <c r="J110" s="3">
        <v>42.03</v>
      </c>
      <c r="K110" s="3">
        <f t="shared" si="3"/>
        <v>475.779</v>
      </c>
      <c r="L110" s="3">
        <f t="shared" si="4"/>
        <v>223.59899999999999</v>
      </c>
      <c r="M110" s="5">
        <f t="shared" si="5"/>
        <v>0.46996399588884752</v>
      </c>
    </row>
    <row r="111" spans="1:13">
      <c r="A111" t="s">
        <v>149</v>
      </c>
      <c r="B111" s="2">
        <v>46225</v>
      </c>
      <c r="C111" t="s">
        <v>14</v>
      </c>
      <c r="D111" t="s">
        <v>39</v>
      </c>
      <c r="E111" t="s">
        <v>65</v>
      </c>
      <c r="F111" t="s">
        <v>22</v>
      </c>
      <c r="G111">
        <v>7</v>
      </c>
      <c r="H111" s="3">
        <v>215.97</v>
      </c>
      <c r="I111" s="4">
        <v>0.1</v>
      </c>
      <c r="J111" s="3">
        <v>133.33000000000001</v>
      </c>
      <c r="K111" s="3">
        <f t="shared" si="3"/>
        <v>1360.6110000000001</v>
      </c>
      <c r="L111" s="3">
        <f t="shared" si="4"/>
        <v>427.30100000000004</v>
      </c>
      <c r="M111" s="5">
        <f t="shared" si="5"/>
        <v>0.31405081981550936</v>
      </c>
    </row>
    <row r="112" spans="1:13">
      <c r="A112" t="s">
        <v>150</v>
      </c>
      <c r="B112" s="2">
        <v>46082</v>
      </c>
      <c r="C112" t="s">
        <v>27</v>
      </c>
      <c r="D112" t="s">
        <v>15</v>
      </c>
      <c r="E112" t="s">
        <v>82</v>
      </c>
      <c r="F112" t="s">
        <v>33</v>
      </c>
      <c r="G112">
        <v>5</v>
      </c>
      <c r="H112" s="3">
        <v>88.48</v>
      </c>
      <c r="I112" s="4">
        <v>0.1</v>
      </c>
      <c r="J112" s="3">
        <v>42.14</v>
      </c>
      <c r="K112" s="3">
        <f t="shared" si="3"/>
        <v>398.16</v>
      </c>
      <c r="L112" s="3">
        <f t="shared" si="4"/>
        <v>187.46000000000004</v>
      </c>
      <c r="M112" s="5">
        <f t="shared" si="5"/>
        <v>0.47081575246132212</v>
      </c>
    </row>
    <row r="113" spans="1:13">
      <c r="A113" t="s">
        <v>151</v>
      </c>
      <c r="B113" s="2">
        <v>46196</v>
      </c>
      <c r="C113" t="s">
        <v>27</v>
      </c>
      <c r="D113" t="s">
        <v>20</v>
      </c>
      <c r="E113" t="s">
        <v>35</v>
      </c>
      <c r="F113" t="s">
        <v>43</v>
      </c>
      <c r="G113">
        <v>6</v>
      </c>
      <c r="H113" s="3">
        <v>34.54</v>
      </c>
      <c r="I113" s="4">
        <v>0.2</v>
      </c>
      <c r="J113" s="3">
        <v>16.45</v>
      </c>
      <c r="K113" s="3">
        <f t="shared" si="3"/>
        <v>165.79200000000003</v>
      </c>
      <c r="L113" s="3">
        <f t="shared" si="4"/>
        <v>67.092000000000041</v>
      </c>
      <c r="M113" s="5">
        <f t="shared" si="5"/>
        <v>0.40467573827446457</v>
      </c>
    </row>
    <row r="114" spans="1:13">
      <c r="A114" t="s">
        <v>152</v>
      </c>
      <c r="B114" s="2">
        <v>46087</v>
      </c>
      <c r="C114" t="s">
        <v>27</v>
      </c>
      <c r="D114" t="s">
        <v>15</v>
      </c>
      <c r="E114" t="s">
        <v>16</v>
      </c>
      <c r="F114" t="s">
        <v>33</v>
      </c>
      <c r="G114">
        <v>7</v>
      </c>
      <c r="H114" s="3">
        <v>67.87</v>
      </c>
      <c r="I114" s="4">
        <v>0.15</v>
      </c>
      <c r="J114" s="3">
        <v>31.97</v>
      </c>
      <c r="K114" s="3">
        <f t="shared" si="3"/>
        <v>403.82650000000001</v>
      </c>
      <c r="L114" s="3">
        <f t="shared" si="4"/>
        <v>180.03650000000002</v>
      </c>
      <c r="M114" s="5">
        <f t="shared" si="5"/>
        <v>0.44582636354969279</v>
      </c>
    </row>
    <row r="115" spans="1:13">
      <c r="A115" t="s">
        <v>153</v>
      </c>
      <c r="B115" s="2">
        <v>46170</v>
      </c>
      <c r="C115" t="s">
        <v>14</v>
      </c>
      <c r="D115" t="s">
        <v>15</v>
      </c>
      <c r="E115" t="s">
        <v>16</v>
      </c>
      <c r="F115" t="s">
        <v>43</v>
      </c>
      <c r="G115">
        <v>7</v>
      </c>
      <c r="H115" s="3">
        <v>70.77</v>
      </c>
      <c r="I115" s="4">
        <v>0</v>
      </c>
      <c r="J115" s="3">
        <v>32.46</v>
      </c>
      <c r="K115" s="3">
        <f t="shared" si="3"/>
        <v>495.39</v>
      </c>
      <c r="L115" s="3">
        <f t="shared" si="4"/>
        <v>268.16999999999996</v>
      </c>
      <c r="M115" s="5">
        <f t="shared" si="5"/>
        <v>0.54133107248834245</v>
      </c>
    </row>
    <row r="116" spans="1:13">
      <c r="A116" t="s">
        <v>154</v>
      </c>
      <c r="B116" s="2">
        <v>46035</v>
      </c>
      <c r="C116" t="s">
        <v>60</v>
      </c>
      <c r="D116" t="s">
        <v>24</v>
      </c>
      <c r="E116" t="s">
        <v>45</v>
      </c>
      <c r="F116" t="s">
        <v>17</v>
      </c>
      <c r="G116">
        <v>4</v>
      </c>
      <c r="H116" s="3">
        <v>123.96</v>
      </c>
      <c r="I116" s="4">
        <v>0.1</v>
      </c>
      <c r="J116" s="3">
        <v>72.849999999999994</v>
      </c>
      <c r="K116" s="3">
        <f t="shared" si="3"/>
        <v>446.25599999999997</v>
      </c>
      <c r="L116" s="3">
        <f t="shared" si="4"/>
        <v>154.85599999999999</v>
      </c>
      <c r="M116" s="5">
        <f t="shared" si="5"/>
        <v>0.34701158079667277</v>
      </c>
    </row>
    <row r="117" spans="1:13">
      <c r="A117" t="s">
        <v>155</v>
      </c>
      <c r="B117" s="2">
        <v>46087</v>
      </c>
      <c r="C117" t="s">
        <v>19</v>
      </c>
      <c r="D117" t="s">
        <v>39</v>
      </c>
      <c r="E117" t="s">
        <v>40</v>
      </c>
      <c r="F117" t="s">
        <v>47</v>
      </c>
      <c r="G117">
        <v>2</v>
      </c>
      <c r="H117" s="3">
        <v>56</v>
      </c>
      <c r="I117" s="4">
        <v>0.15</v>
      </c>
      <c r="J117" s="3">
        <v>23.89</v>
      </c>
      <c r="K117" s="3">
        <f t="shared" si="3"/>
        <v>95.2</v>
      </c>
      <c r="L117" s="3">
        <f t="shared" si="4"/>
        <v>47.42</v>
      </c>
      <c r="M117" s="5">
        <f t="shared" si="5"/>
        <v>0.498109243697479</v>
      </c>
    </row>
    <row r="118" spans="1:13">
      <c r="A118" t="s">
        <v>156</v>
      </c>
      <c r="B118" s="2">
        <v>46031</v>
      </c>
      <c r="C118" t="s">
        <v>19</v>
      </c>
      <c r="D118" t="s">
        <v>39</v>
      </c>
      <c r="E118" t="s">
        <v>65</v>
      </c>
      <c r="F118" t="s">
        <v>17</v>
      </c>
      <c r="G118">
        <v>5</v>
      </c>
      <c r="H118" s="3">
        <v>219.43</v>
      </c>
      <c r="I118" s="4">
        <v>0</v>
      </c>
      <c r="J118" s="3">
        <v>128.71</v>
      </c>
      <c r="K118" s="3">
        <f t="shared" si="3"/>
        <v>1097.1500000000001</v>
      </c>
      <c r="L118" s="3">
        <f t="shared" si="4"/>
        <v>453.6</v>
      </c>
      <c r="M118" s="5">
        <f t="shared" si="5"/>
        <v>0.41343480836713303</v>
      </c>
    </row>
    <row r="119" spans="1:13">
      <c r="A119" t="s">
        <v>157</v>
      </c>
      <c r="B119" s="2">
        <v>46247</v>
      </c>
      <c r="C119" t="s">
        <v>60</v>
      </c>
      <c r="D119" t="s">
        <v>15</v>
      </c>
      <c r="E119" t="s">
        <v>16</v>
      </c>
      <c r="F119" t="s">
        <v>33</v>
      </c>
      <c r="G119">
        <v>5</v>
      </c>
      <c r="H119" s="3">
        <v>73.150000000000006</v>
      </c>
      <c r="I119" s="4">
        <v>0.15</v>
      </c>
      <c r="J119" s="3">
        <v>32.909999999999997</v>
      </c>
      <c r="K119" s="3">
        <f t="shared" si="3"/>
        <v>310.88749999999999</v>
      </c>
      <c r="L119" s="3">
        <f t="shared" si="4"/>
        <v>146.33750000000001</v>
      </c>
      <c r="M119" s="5">
        <f t="shared" si="5"/>
        <v>0.47070885770576176</v>
      </c>
    </row>
    <row r="120" spans="1:13">
      <c r="A120" t="s">
        <v>158</v>
      </c>
      <c r="B120" s="2">
        <v>46214</v>
      </c>
      <c r="C120" t="s">
        <v>30</v>
      </c>
      <c r="D120" t="s">
        <v>20</v>
      </c>
      <c r="E120" t="s">
        <v>35</v>
      </c>
      <c r="F120" t="s">
        <v>43</v>
      </c>
      <c r="G120">
        <v>2</v>
      </c>
      <c r="H120" s="3">
        <v>36.64</v>
      </c>
      <c r="I120" s="4">
        <v>0</v>
      </c>
      <c r="J120" s="3">
        <v>16.37</v>
      </c>
      <c r="K120" s="3">
        <f t="shared" si="3"/>
        <v>73.28</v>
      </c>
      <c r="L120" s="3">
        <f t="shared" si="4"/>
        <v>40.54</v>
      </c>
      <c r="M120" s="5">
        <f t="shared" si="5"/>
        <v>0.55322052401746724</v>
      </c>
    </row>
    <row r="121" spans="1:13">
      <c r="A121" t="s">
        <v>159</v>
      </c>
      <c r="B121" s="2">
        <v>46195</v>
      </c>
      <c r="C121" t="s">
        <v>60</v>
      </c>
      <c r="D121" t="s">
        <v>15</v>
      </c>
      <c r="E121" t="s">
        <v>16</v>
      </c>
      <c r="F121" t="s">
        <v>43</v>
      </c>
      <c r="G121">
        <v>7</v>
      </c>
      <c r="H121" s="3">
        <v>70.58</v>
      </c>
      <c r="I121" s="4">
        <v>0</v>
      </c>
      <c r="J121" s="3">
        <v>32.090000000000003</v>
      </c>
      <c r="K121" s="3">
        <f t="shared" si="3"/>
        <v>494.06</v>
      </c>
      <c r="L121" s="3">
        <f t="shared" si="4"/>
        <v>269.42999999999995</v>
      </c>
      <c r="M121" s="5">
        <f t="shared" si="5"/>
        <v>0.5453386228393311</v>
      </c>
    </row>
    <row r="122" spans="1:13">
      <c r="A122" t="s">
        <v>160</v>
      </c>
      <c r="B122" s="2">
        <v>46214</v>
      </c>
      <c r="C122" t="s">
        <v>19</v>
      </c>
      <c r="D122" t="s">
        <v>24</v>
      </c>
      <c r="E122" t="s">
        <v>56</v>
      </c>
      <c r="F122" t="s">
        <v>17</v>
      </c>
      <c r="G122">
        <v>6</v>
      </c>
      <c r="H122" s="3">
        <v>63.77</v>
      </c>
      <c r="I122" s="4">
        <v>0</v>
      </c>
      <c r="J122" s="3">
        <v>28.46</v>
      </c>
      <c r="K122" s="3">
        <f t="shared" si="3"/>
        <v>382.62</v>
      </c>
      <c r="L122" s="3">
        <f t="shared" si="4"/>
        <v>211.86</v>
      </c>
      <c r="M122" s="5">
        <f t="shared" si="5"/>
        <v>0.55370864042653289</v>
      </c>
    </row>
    <row r="123" spans="1:13">
      <c r="A123" t="s">
        <v>161</v>
      </c>
      <c r="B123" s="2">
        <v>46106</v>
      </c>
      <c r="C123" t="s">
        <v>60</v>
      </c>
      <c r="D123" t="s">
        <v>39</v>
      </c>
      <c r="E123" t="s">
        <v>40</v>
      </c>
      <c r="F123" t="s">
        <v>43</v>
      </c>
      <c r="G123">
        <v>2</v>
      </c>
      <c r="H123" s="3">
        <v>55.1</v>
      </c>
      <c r="I123" s="4">
        <v>0.1</v>
      </c>
      <c r="J123" s="3">
        <v>24.36</v>
      </c>
      <c r="K123" s="3">
        <f t="shared" si="3"/>
        <v>99.18</v>
      </c>
      <c r="L123" s="3">
        <f t="shared" si="4"/>
        <v>50.460000000000008</v>
      </c>
      <c r="M123" s="5">
        <f t="shared" si="5"/>
        <v>0.50877192982456143</v>
      </c>
    </row>
    <row r="124" spans="1:13">
      <c r="A124" t="s">
        <v>162</v>
      </c>
      <c r="B124" s="2">
        <v>46127</v>
      </c>
      <c r="C124" t="s">
        <v>14</v>
      </c>
      <c r="D124" t="s">
        <v>20</v>
      </c>
      <c r="E124" t="s">
        <v>21</v>
      </c>
      <c r="F124" t="s">
        <v>17</v>
      </c>
      <c r="G124">
        <v>5</v>
      </c>
      <c r="H124" s="3">
        <v>1164.54</v>
      </c>
      <c r="I124" s="4">
        <v>0.2</v>
      </c>
      <c r="J124" s="3">
        <v>842.98</v>
      </c>
      <c r="K124" s="3">
        <f t="shared" si="3"/>
        <v>4658.16</v>
      </c>
      <c r="L124" s="3">
        <f t="shared" si="4"/>
        <v>443.26000000000022</v>
      </c>
      <c r="M124" s="5">
        <f t="shared" si="5"/>
        <v>9.5157744688890086E-2</v>
      </c>
    </row>
    <row r="125" spans="1:13">
      <c r="A125" t="s">
        <v>163</v>
      </c>
      <c r="B125" s="2">
        <v>46057</v>
      </c>
      <c r="C125" t="s">
        <v>27</v>
      </c>
      <c r="D125" t="s">
        <v>15</v>
      </c>
      <c r="E125" t="s">
        <v>32</v>
      </c>
      <c r="F125" t="s">
        <v>43</v>
      </c>
      <c r="G125">
        <v>7</v>
      </c>
      <c r="H125" s="3">
        <v>97.41</v>
      </c>
      <c r="I125" s="4">
        <v>0.05</v>
      </c>
      <c r="J125" s="3">
        <v>49.16</v>
      </c>
      <c r="K125" s="3">
        <f t="shared" si="3"/>
        <v>647.77649999999994</v>
      </c>
      <c r="L125" s="3">
        <f t="shared" si="4"/>
        <v>303.65649999999994</v>
      </c>
      <c r="M125" s="5">
        <f t="shared" si="5"/>
        <v>0.46876739122212674</v>
      </c>
    </row>
    <row r="126" spans="1:13">
      <c r="A126" t="s">
        <v>164</v>
      </c>
      <c r="B126" s="2">
        <v>46048</v>
      </c>
      <c r="C126" t="s">
        <v>30</v>
      </c>
      <c r="D126" t="s">
        <v>24</v>
      </c>
      <c r="E126" t="s">
        <v>45</v>
      </c>
      <c r="F126" t="s">
        <v>22</v>
      </c>
      <c r="G126">
        <v>1</v>
      </c>
      <c r="H126" s="3">
        <v>122.44</v>
      </c>
      <c r="I126" s="4">
        <v>0.1</v>
      </c>
      <c r="J126" s="3">
        <v>72.16</v>
      </c>
      <c r="K126" s="3">
        <f t="shared" si="3"/>
        <v>110.196</v>
      </c>
      <c r="L126" s="3">
        <f t="shared" si="4"/>
        <v>38.036000000000001</v>
      </c>
      <c r="M126" s="5">
        <f t="shared" si="5"/>
        <v>0.34516679371302045</v>
      </c>
    </row>
    <row r="127" spans="1:13">
      <c r="A127" t="s">
        <v>165</v>
      </c>
      <c r="B127" s="2">
        <v>46241</v>
      </c>
      <c r="C127" t="s">
        <v>27</v>
      </c>
      <c r="D127" t="s">
        <v>15</v>
      </c>
      <c r="E127" t="s">
        <v>32</v>
      </c>
      <c r="F127" t="s">
        <v>47</v>
      </c>
      <c r="G127">
        <v>6</v>
      </c>
      <c r="H127" s="3">
        <v>93.56</v>
      </c>
      <c r="I127" s="4">
        <v>0</v>
      </c>
      <c r="J127" s="3">
        <v>49.36</v>
      </c>
      <c r="K127" s="3">
        <f t="shared" si="3"/>
        <v>561.36</v>
      </c>
      <c r="L127" s="3">
        <f t="shared" si="4"/>
        <v>265.20000000000005</v>
      </c>
      <c r="M127" s="5">
        <f t="shared" si="5"/>
        <v>0.47242411286874741</v>
      </c>
    </row>
    <row r="128" spans="1:13">
      <c r="A128" t="s">
        <v>166</v>
      </c>
      <c r="B128" s="2">
        <v>46046</v>
      </c>
      <c r="C128" t="s">
        <v>19</v>
      </c>
      <c r="D128" t="s">
        <v>20</v>
      </c>
      <c r="E128" t="s">
        <v>21</v>
      </c>
      <c r="F128" t="s">
        <v>28</v>
      </c>
      <c r="G128">
        <v>6</v>
      </c>
      <c r="H128" s="3">
        <v>1165.5999999999999</v>
      </c>
      <c r="I128" s="4">
        <v>0</v>
      </c>
      <c r="J128" s="3">
        <v>856.99</v>
      </c>
      <c r="K128" s="3">
        <f t="shared" si="3"/>
        <v>6993.5999999999995</v>
      </c>
      <c r="L128" s="3">
        <f t="shared" si="4"/>
        <v>1851.6599999999989</v>
      </c>
      <c r="M128" s="5">
        <f t="shared" si="5"/>
        <v>0.26476492793411105</v>
      </c>
    </row>
    <row r="129" spans="1:13">
      <c r="A129" t="s">
        <v>167</v>
      </c>
      <c r="B129" s="2">
        <v>46235</v>
      </c>
      <c r="C129" t="s">
        <v>30</v>
      </c>
      <c r="D129" t="s">
        <v>39</v>
      </c>
      <c r="E129" t="s">
        <v>40</v>
      </c>
      <c r="F129" t="s">
        <v>17</v>
      </c>
      <c r="G129">
        <v>4</v>
      </c>
      <c r="H129" s="3">
        <v>53.95</v>
      </c>
      <c r="I129" s="4">
        <v>0.15</v>
      </c>
      <c r="J129" s="3">
        <v>24.45</v>
      </c>
      <c r="K129" s="3">
        <f t="shared" si="3"/>
        <v>183.43</v>
      </c>
      <c r="L129" s="3">
        <f t="shared" si="4"/>
        <v>85.63000000000001</v>
      </c>
      <c r="M129" s="5">
        <f t="shared" si="5"/>
        <v>0.46682658234748953</v>
      </c>
    </row>
    <row r="130" spans="1:13">
      <c r="A130" t="s">
        <v>168</v>
      </c>
      <c r="B130" s="2">
        <v>46023</v>
      </c>
      <c r="C130" t="s">
        <v>14</v>
      </c>
      <c r="D130" t="s">
        <v>39</v>
      </c>
      <c r="E130" t="s">
        <v>65</v>
      </c>
      <c r="F130" t="s">
        <v>22</v>
      </c>
      <c r="G130">
        <v>5</v>
      </c>
      <c r="H130" s="3">
        <v>213.38</v>
      </c>
      <c r="I130" s="4">
        <v>0.1</v>
      </c>
      <c r="J130" s="3">
        <v>133.03</v>
      </c>
      <c r="K130" s="3">
        <f t="shared" ref="K130:K193" si="6">G130*H130*(1-I130)</f>
        <v>960.21000000000015</v>
      </c>
      <c r="L130" s="3">
        <f t="shared" ref="L130:L193" si="7">K130-(G130*J130)</f>
        <v>295.06000000000017</v>
      </c>
      <c r="M130" s="5">
        <f t="shared" ref="M130:M193" si="8">IFERROR(L130/K130,0)</f>
        <v>0.30728694764686904</v>
      </c>
    </row>
    <row r="131" spans="1:13">
      <c r="A131" t="s">
        <v>169</v>
      </c>
      <c r="B131" s="2">
        <v>46026</v>
      </c>
      <c r="C131" t="s">
        <v>14</v>
      </c>
      <c r="D131" t="s">
        <v>39</v>
      </c>
      <c r="E131" t="s">
        <v>40</v>
      </c>
      <c r="F131" t="s">
        <v>47</v>
      </c>
      <c r="G131">
        <v>6</v>
      </c>
      <c r="H131" s="3">
        <v>54.11</v>
      </c>
      <c r="I131" s="4">
        <v>0</v>
      </c>
      <c r="J131" s="3">
        <v>23.67</v>
      </c>
      <c r="K131" s="3">
        <f t="shared" si="6"/>
        <v>324.65999999999997</v>
      </c>
      <c r="L131" s="3">
        <f t="shared" si="7"/>
        <v>182.63999999999996</v>
      </c>
      <c r="M131" s="5">
        <f t="shared" si="8"/>
        <v>0.56255775272592856</v>
      </c>
    </row>
    <row r="132" spans="1:13">
      <c r="A132" t="s">
        <v>170</v>
      </c>
      <c r="B132" s="2">
        <v>46157</v>
      </c>
      <c r="C132" t="s">
        <v>14</v>
      </c>
      <c r="D132" t="s">
        <v>20</v>
      </c>
      <c r="E132" t="s">
        <v>35</v>
      </c>
      <c r="F132" t="s">
        <v>17</v>
      </c>
      <c r="G132">
        <v>8</v>
      </c>
      <c r="H132" s="3">
        <v>35.22</v>
      </c>
      <c r="I132" s="4">
        <v>0.1</v>
      </c>
      <c r="J132" s="3">
        <v>15.77</v>
      </c>
      <c r="K132" s="3">
        <f t="shared" si="6"/>
        <v>253.584</v>
      </c>
      <c r="L132" s="3">
        <f t="shared" si="7"/>
        <v>127.42400000000001</v>
      </c>
      <c r="M132" s="5">
        <f t="shared" si="8"/>
        <v>0.50249227080572911</v>
      </c>
    </row>
    <row r="133" spans="1:13">
      <c r="A133" t="s">
        <v>171</v>
      </c>
      <c r="B133" s="2">
        <v>46079</v>
      </c>
      <c r="C133" t="s">
        <v>60</v>
      </c>
      <c r="D133" t="s">
        <v>20</v>
      </c>
      <c r="E133" t="s">
        <v>37</v>
      </c>
      <c r="F133" t="s">
        <v>47</v>
      </c>
      <c r="G133">
        <v>5</v>
      </c>
      <c r="H133" s="3">
        <v>303.56</v>
      </c>
      <c r="I133" s="4">
        <v>0.05</v>
      </c>
      <c r="J133" s="3">
        <v>176.95</v>
      </c>
      <c r="K133" s="3">
        <f t="shared" si="6"/>
        <v>1441.9099999999999</v>
      </c>
      <c r="L133" s="3">
        <f t="shared" si="7"/>
        <v>557.15999999999985</v>
      </c>
      <c r="M133" s="5">
        <f t="shared" si="8"/>
        <v>0.38640414450277749</v>
      </c>
    </row>
    <row r="134" spans="1:13">
      <c r="A134" t="s">
        <v>172</v>
      </c>
      <c r="B134" s="2">
        <v>46239</v>
      </c>
      <c r="C134" t="s">
        <v>27</v>
      </c>
      <c r="D134" t="s">
        <v>20</v>
      </c>
      <c r="E134" t="s">
        <v>35</v>
      </c>
      <c r="F134" t="s">
        <v>28</v>
      </c>
      <c r="G134">
        <v>8</v>
      </c>
      <c r="H134" s="3">
        <v>33.85</v>
      </c>
      <c r="I134" s="4">
        <v>0</v>
      </c>
      <c r="J134" s="3">
        <v>16.170000000000002</v>
      </c>
      <c r="K134" s="3">
        <f t="shared" si="6"/>
        <v>270.8</v>
      </c>
      <c r="L134" s="3">
        <f t="shared" si="7"/>
        <v>141.44</v>
      </c>
      <c r="M134" s="5">
        <f t="shared" si="8"/>
        <v>0.52230428360413583</v>
      </c>
    </row>
    <row r="135" spans="1:13">
      <c r="A135" t="s">
        <v>173</v>
      </c>
      <c r="B135" s="2">
        <v>46055</v>
      </c>
      <c r="C135" t="s">
        <v>14</v>
      </c>
      <c r="D135" t="s">
        <v>15</v>
      </c>
      <c r="E135" t="s">
        <v>82</v>
      </c>
      <c r="F135" t="s">
        <v>43</v>
      </c>
      <c r="G135">
        <v>5</v>
      </c>
      <c r="H135" s="3">
        <v>86.23</v>
      </c>
      <c r="I135" s="4">
        <v>0.05</v>
      </c>
      <c r="J135" s="3">
        <v>41.37</v>
      </c>
      <c r="K135" s="3">
        <f t="shared" si="6"/>
        <v>409.59250000000003</v>
      </c>
      <c r="L135" s="3">
        <f t="shared" si="7"/>
        <v>202.74250000000004</v>
      </c>
      <c r="M135" s="5">
        <f t="shared" si="8"/>
        <v>0.49498587010260203</v>
      </c>
    </row>
    <row r="136" spans="1:13">
      <c r="A136" t="s">
        <v>174</v>
      </c>
      <c r="B136" s="2">
        <v>46052</v>
      </c>
      <c r="C136" t="s">
        <v>30</v>
      </c>
      <c r="D136" t="s">
        <v>39</v>
      </c>
      <c r="E136" t="s">
        <v>54</v>
      </c>
      <c r="F136" t="s">
        <v>47</v>
      </c>
      <c r="G136">
        <v>8</v>
      </c>
      <c r="H136" s="3">
        <v>418.84</v>
      </c>
      <c r="I136" s="4">
        <v>0.15</v>
      </c>
      <c r="J136" s="3">
        <v>275.77</v>
      </c>
      <c r="K136" s="3">
        <f t="shared" si="6"/>
        <v>2848.1119999999996</v>
      </c>
      <c r="L136" s="3">
        <f t="shared" si="7"/>
        <v>641.95199999999977</v>
      </c>
      <c r="M136" s="5">
        <f t="shared" si="8"/>
        <v>0.22539563050891251</v>
      </c>
    </row>
    <row r="137" spans="1:13">
      <c r="A137" t="s">
        <v>175</v>
      </c>
      <c r="B137" s="2">
        <v>46129</v>
      </c>
      <c r="C137" t="s">
        <v>19</v>
      </c>
      <c r="D137" t="s">
        <v>15</v>
      </c>
      <c r="E137" t="s">
        <v>82</v>
      </c>
      <c r="F137" t="s">
        <v>47</v>
      </c>
      <c r="G137">
        <v>6</v>
      </c>
      <c r="H137" s="3">
        <v>84.46</v>
      </c>
      <c r="I137" s="4">
        <v>0.1</v>
      </c>
      <c r="J137" s="3">
        <v>41.48</v>
      </c>
      <c r="K137" s="3">
        <f t="shared" si="6"/>
        <v>456.084</v>
      </c>
      <c r="L137" s="3">
        <f t="shared" si="7"/>
        <v>207.20400000000001</v>
      </c>
      <c r="M137" s="5">
        <f t="shared" si="8"/>
        <v>0.45431104796484861</v>
      </c>
    </row>
    <row r="138" spans="1:13">
      <c r="A138" t="s">
        <v>176</v>
      </c>
      <c r="B138" s="2">
        <v>46040</v>
      </c>
      <c r="C138" t="s">
        <v>14</v>
      </c>
      <c r="D138" t="s">
        <v>20</v>
      </c>
      <c r="E138" t="s">
        <v>21</v>
      </c>
      <c r="F138" t="s">
        <v>17</v>
      </c>
      <c r="G138">
        <v>7</v>
      </c>
      <c r="H138" s="3">
        <v>1231.79</v>
      </c>
      <c r="I138" s="4">
        <v>0</v>
      </c>
      <c r="J138" s="3">
        <v>867.5</v>
      </c>
      <c r="K138" s="3">
        <f t="shared" si="6"/>
        <v>8622.5299999999988</v>
      </c>
      <c r="L138" s="3">
        <f t="shared" si="7"/>
        <v>2550.0299999999988</v>
      </c>
      <c r="M138" s="5">
        <f t="shared" si="8"/>
        <v>0.29574034535107435</v>
      </c>
    </row>
    <row r="139" spans="1:13">
      <c r="A139" t="s">
        <v>177</v>
      </c>
      <c r="B139" s="2">
        <v>46038</v>
      </c>
      <c r="C139" t="s">
        <v>19</v>
      </c>
      <c r="D139" t="s">
        <v>15</v>
      </c>
      <c r="E139" t="s">
        <v>32</v>
      </c>
      <c r="F139" t="s">
        <v>47</v>
      </c>
      <c r="G139">
        <v>2</v>
      </c>
      <c r="H139" s="3">
        <v>98.67</v>
      </c>
      <c r="I139" s="4">
        <v>0.05</v>
      </c>
      <c r="J139" s="3">
        <v>49.3</v>
      </c>
      <c r="K139" s="3">
        <f t="shared" si="6"/>
        <v>187.47299999999998</v>
      </c>
      <c r="L139" s="3">
        <f t="shared" si="7"/>
        <v>88.87299999999999</v>
      </c>
      <c r="M139" s="5">
        <f t="shared" si="8"/>
        <v>0.47405759762739169</v>
      </c>
    </row>
    <row r="140" spans="1:13">
      <c r="A140" t="s">
        <v>178</v>
      </c>
      <c r="B140" s="2">
        <v>46245</v>
      </c>
      <c r="C140" t="s">
        <v>60</v>
      </c>
      <c r="D140" t="s">
        <v>20</v>
      </c>
      <c r="E140" t="s">
        <v>35</v>
      </c>
      <c r="F140" t="s">
        <v>43</v>
      </c>
      <c r="G140">
        <v>5</v>
      </c>
      <c r="H140" s="3">
        <v>35.42</v>
      </c>
      <c r="I140" s="4">
        <v>0.05</v>
      </c>
      <c r="J140" s="3">
        <v>15.85</v>
      </c>
      <c r="K140" s="3">
        <f t="shared" si="6"/>
        <v>168.245</v>
      </c>
      <c r="L140" s="3">
        <f t="shared" si="7"/>
        <v>88.995000000000005</v>
      </c>
      <c r="M140" s="5">
        <f t="shared" si="8"/>
        <v>0.5289607417753871</v>
      </c>
    </row>
    <row r="141" spans="1:13">
      <c r="A141" t="s">
        <v>179</v>
      </c>
      <c r="B141" s="2">
        <v>46146</v>
      </c>
      <c r="C141" t="s">
        <v>14</v>
      </c>
      <c r="D141" t="s">
        <v>20</v>
      </c>
      <c r="E141" t="s">
        <v>35</v>
      </c>
      <c r="F141" t="s">
        <v>47</v>
      </c>
      <c r="G141">
        <v>6</v>
      </c>
      <c r="H141" s="3">
        <v>34.479999999999997</v>
      </c>
      <c r="I141" s="4">
        <v>0</v>
      </c>
      <c r="J141" s="3">
        <v>15.86</v>
      </c>
      <c r="K141" s="3">
        <f t="shared" si="6"/>
        <v>206.88</v>
      </c>
      <c r="L141" s="3">
        <f t="shared" si="7"/>
        <v>111.72</v>
      </c>
      <c r="M141" s="5">
        <f t="shared" si="8"/>
        <v>0.54002320185614849</v>
      </c>
    </row>
    <row r="142" spans="1:13">
      <c r="A142" t="s">
        <v>180</v>
      </c>
      <c r="B142" s="2">
        <v>46239</v>
      </c>
      <c r="C142" t="s">
        <v>19</v>
      </c>
      <c r="D142" t="s">
        <v>20</v>
      </c>
      <c r="E142" t="s">
        <v>37</v>
      </c>
      <c r="F142" t="s">
        <v>33</v>
      </c>
      <c r="G142">
        <v>5</v>
      </c>
      <c r="H142" s="3">
        <v>285.52999999999997</v>
      </c>
      <c r="I142" s="4">
        <v>0</v>
      </c>
      <c r="J142" s="3">
        <v>183.26</v>
      </c>
      <c r="K142" s="3">
        <f t="shared" si="6"/>
        <v>1427.6499999999999</v>
      </c>
      <c r="L142" s="3">
        <f t="shared" si="7"/>
        <v>511.34999999999991</v>
      </c>
      <c r="M142" s="5">
        <f t="shared" si="8"/>
        <v>0.35817602353518019</v>
      </c>
    </row>
    <row r="143" spans="1:13">
      <c r="A143" t="s">
        <v>181</v>
      </c>
      <c r="B143" s="2">
        <v>46112</v>
      </c>
      <c r="C143" t="s">
        <v>14</v>
      </c>
      <c r="D143" t="s">
        <v>39</v>
      </c>
      <c r="E143" t="s">
        <v>40</v>
      </c>
      <c r="F143" t="s">
        <v>28</v>
      </c>
      <c r="G143">
        <v>7</v>
      </c>
      <c r="H143" s="3">
        <v>56.47</v>
      </c>
      <c r="I143" s="4">
        <v>0</v>
      </c>
      <c r="J143" s="3">
        <v>24.69</v>
      </c>
      <c r="K143" s="3">
        <f t="shared" si="6"/>
        <v>395.28999999999996</v>
      </c>
      <c r="L143" s="3">
        <f t="shared" si="7"/>
        <v>222.45999999999995</v>
      </c>
      <c r="M143" s="5">
        <f t="shared" si="8"/>
        <v>0.56277669559057897</v>
      </c>
    </row>
    <row r="144" spans="1:13">
      <c r="A144" t="s">
        <v>182</v>
      </c>
      <c r="B144" s="2">
        <v>46214</v>
      </c>
      <c r="C144" t="s">
        <v>27</v>
      </c>
      <c r="D144" t="s">
        <v>24</v>
      </c>
      <c r="E144" t="s">
        <v>45</v>
      </c>
      <c r="F144" t="s">
        <v>17</v>
      </c>
      <c r="G144">
        <v>8</v>
      </c>
      <c r="H144" s="3">
        <v>124.16</v>
      </c>
      <c r="I144" s="4">
        <v>0</v>
      </c>
      <c r="J144" s="3">
        <v>73.16</v>
      </c>
      <c r="K144" s="3">
        <f t="shared" si="6"/>
        <v>993.28</v>
      </c>
      <c r="L144" s="3">
        <f t="shared" si="7"/>
        <v>408</v>
      </c>
      <c r="M144" s="5">
        <f t="shared" si="8"/>
        <v>0.4107603092783505</v>
      </c>
    </row>
    <row r="145" spans="1:13">
      <c r="A145" t="s">
        <v>183</v>
      </c>
      <c r="B145" s="2">
        <v>46175</v>
      </c>
      <c r="C145" t="s">
        <v>14</v>
      </c>
      <c r="D145" t="s">
        <v>20</v>
      </c>
      <c r="E145" t="s">
        <v>21</v>
      </c>
      <c r="F145" t="s">
        <v>47</v>
      </c>
      <c r="G145">
        <v>3</v>
      </c>
      <c r="H145" s="3">
        <v>1157.3699999999999</v>
      </c>
      <c r="I145" s="4">
        <v>0.1</v>
      </c>
      <c r="J145" s="3">
        <v>836.47</v>
      </c>
      <c r="K145" s="3">
        <f t="shared" si="6"/>
        <v>3124.8989999999999</v>
      </c>
      <c r="L145" s="3">
        <f t="shared" si="7"/>
        <v>615.48900000000003</v>
      </c>
      <c r="M145" s="5">
        <f t="shared" si="8"/>
        <v>0.19696284583917753</v>
      </c>
    </row>
    <row r="146" spans="1:13">
      <c r="A146" t="s">
        <v>184</v>
      </c>
      <c r="B146" s="2">
        <v>46192</v>
      </c>
      <c r="C146" t="s">
        <v>27</v>
      </c>
      <c r="D146" t="s">
        <v>24</v>
      </c>
      <c r="E146" t="s">
        <v>45</v>
      </c>
      <c r="F146" t="s">
        <v>28</v>
      </c>
      <c r="G146">
        <v>5</v>
      </c>
      <c r="H146" s="3">
        <v>125.76</v>
      </c>
      <c r="I146" s="4">
        <v>0</v>
      </c>
      <c r="J146" s="3">
        <v>71.8</v>
      </c>
      <c r="K146" s="3">
        <f t="shared" si="6"/>
        <v>628.80000000000007</v>
      </c>
      <c r="L146" s="3">
        <f t="shared" si="7"/>
        <v>269.80000000000007</v>
      </c>
      <c r="M146" s="5">
        <f t="shared" si="8"/>
        <v>0.4290712468193385</v>
      </c>
    </row>
    <row r="147" spans="1:13">
      <c r="A147" t="s">
        <v>185</v>
      </c>
      <c r="B147" s="2">
        <v>46095</v>
      </c>
      <c r="C147" t="s">
        <v>19</v>
      </c>
      <c r="D147" t="s">
        <v>24</v>
      </c>
      <c r="E147" t="s">
        <v>56</v>
      </c>
      <c r="F147" t="s">
        <v>28</v>
      </c>
      <c r="G147">
        <v>5</v>
      </c>
      <c r="H147" s="3">
        <v>64.709999999999994</v>
      </c>
      <c r="I147" s="4">
        <v>0</v>
      </c>
      <c r="J147" s="3">
        <v>29.29</v>
      </c>
      <c r="K147" s="3">
        <f t="shared" si="6"/>
        <v>323.54999999999995</v>
      </c>
      <c r="L147" s="3">
        <f t="shared" si="7"/>
        <v>177.09999999999997</v>
      </c>
      <c r="M147" s="5">
        <f t="shared" si="8"/>
        <v>0.54736516767114818</v>
      </c>
    </row>
    <row r="148" spans="1:13">
      <c r="A148" t="s">
        <v>186</v>
      </c>
      <c r="B148" s="2">
        <v>46075</v>
      </c>
      <c r="C148" t="s">
        <v>14</v>
      </c>
      <c r="D148" t="s">
        <v>39</v>
      </c>
      <c r="E148" t="s">
        <v>65</v>
      </c>
      <c r="F148" t="s">
        <v>47</v>
      </c>
      <c r="G148">
        <v>5</v>
      </c>
      <c r="H148" s="3">
        <v>213.58</v>
      </c>
      <c r="I148" s="4">
        <v>0</v>
      </c>
      <c r="J148" s="3">
        <v>130.63</v>
      </c>
      <c r="K148" s="3">
        <f t="shared" si="6"/>
        <v>1067.9000000000001</v>
      </c>
      <c r="L148" s="3">
        <f t="shared" si="7"/>
        <v>414.75000000000011</v>
      </c>
      <c r="M148" s="5">
        <f t="shared" si="8"/>
        <v>0.388379061709898</v>
      </c>
    </row>
    <row r="149" spans="1:13">
      <c r="A149" t="s">
        <v>187</v>
      </c>
      <c r="B149" s="2">
        <v>46067</v>
      </c>
      <c r="C149" t="s">
        <v>14</v>
      </c>
      <c r="D149" t="s">
        <v>39</v>
      </c>
      <c r="E149" t="s">
        <v>40</v>
      </c>
      <c r="F149" t="s">
        <v>28</v>
      </c>
      <c r="G149">
        <v>6</v>
      </c>
      <c r="H149" s="3">
        <v>57.07</v>
      </c>
      <c r="I149" s="4">
        <v>0</v>
      </c>
      <c r="J149" s="3">
        <v>23.57</v>
      </c>
      <c r="K149" s="3">
        <f t="shared" si="6"/>
        <v>342.42</v>
      </c>
      <c r="L149" s="3">
        <f t="shared" si="7"/>
        <v>201</v>
      </c>
      <c r="M149" s="5">
        <f t="shared" si="8"/>
        <v>0.58699842298931137</v>
      </c>
    </row>
    <row r="150" spans="1:13">
      <c r="A150" t="s">
        <v>188</v>
      </c>
      <c r="B150" s="2">
        <v>46140</v>
      </c>
      <c r="C150" t="s">
        <v>60</v>
      </c>
      <c r="D150" t="s">
        <v>15</v>
      </c>
      <c r="E150" t="s">
        <v>32</v>
      </c>
      <c r="F150" t="s">
        <v>28</v>
      </c>
      <c r="G150">
        <v>7</v>
      </c>
      <c r="H150" s="3">
        <v>97.27</v>
      </c>
      <c r="I150" s="4">
        <v>0.05</v>
      </c>
      <c r="J150" s="3">
        <v>48.04</v>
      </c>
      <c r="K150" s="3">
        <f t="shared" si="6"/>
        <v>646.8454999999999</v>
      </c>
      <c r="L150" s="3">
        <f t="shared" si="7"/>
        <v>310.56549999999993</v>
      </c>
      <c r="M150" s="5">
        <f t="shared" si="8"/>
        <v>0.48012315150990459</v>
      </c>
    </row>
    <row r="151" spans="1:13">
      <c r="A151" t="s">
        <v>189</v>
      </c>
      <c r="B151" s="2">
        <v>46126</v>
      </c>
      <c r="C151" t="s">
        <v>14</v>
      </c>
      <c r="D151" t="s">
        <v>15</v>
      </c>
      <c r="E151" t="s">
        <v>16</v>
      </c>
      <c r="F151" t="s">
        <v>28</v>
      </c>
      <c r="G151">
        <v>8</v>
      </c>
      <c r="H151" s="3">
        <v>72.989999999999995</v>
      </c>
      <c r="I151" s="4">
        <v>0.15</v>
      </c>
      <c r="J151" s="3">
        <v>31.5</v>
      </c>
      <c r="K151" s="3">
        <f t="shared" si="6"/>
        <v>496.33199999999994</v>
      </c>
      <c r="L151" s="3">
        <f t="shared" si="7"/>
        <v>244.33199999999994</v>
      </c>
      <c r="M151" s="5">
        <f t="shared" si="8"/>
        <v>0.49227533183433664</v>
      </c>
    </row>
    <row r="152" spans="1:13">
      <c r="A152" t="s">
        <v>190</v>
      </c>
      <c r="B152" s="2">
        <v>46085</v>
      </c>
      <c r="C152" t="s">
        <v>27</v>
      </c>
      <c r="D152" t="s">
        <v>24</v>
      </c>
      <c r="E152" t="s">
        <v>56</v>
      </c>
      <c r="F152" t="s">
        <v>33</v>
      </c>
      <c r="G152">
        <v>2</v>
      </c>
      <c r="H152" s="3">
        <v>64.22</v>
      </c>
      <c r="I152" s="4">
        <v>0.05</v>
      </c>
      <c r="J152" s="3">
        <v>28.91</v>
      </c>
      <c r="K152" s="3">
        <f t="shared" si="6"/>
        <v>122.01799999999999</v>
      </c>
      <c r="L152" s="3">
        <f t="shared" si="7"/>
        <v>64.197999999999979</v>
      </c>
      <c r="M152" s="5">
        <f t="shared" si="8"/>
        <v>0.5261354882066579</v>
      </c>
    </row>
    <row r="153" spans="1:13">
      <c r="A153" t="s">
        <v>191</v>
      </c>
      <c r="B153" s="2">
        <v>46222</v>
      </c>
      <c r="C153" t="s">
        <v>14</v>
      </c>
      <c r="D153" t="s">
        <v>20</v>
      </c>
      <c r="E153" t="s">
        <v>37</v>
      </c>
      <c r="F153" t="s">
        <v>43</v>
      </c>
      <c r="G153">
        <v>4</v>
      </c>
      <c r="H153" s="3">
        <v>287.52</v>
      </c>
      <c r="I153" s="4">
        <v>0.15</v>
      </c>
      <c r="J153" s="3">
        <v>182.95</v>
      </c>
      <c r="K153" s="3">
        <f t="shared" si="6"/>
        <v>977.56799999999987</v>
      </c>
      <c r="L153" s="3">
        <f t="shared" si="7"/>
        <v>245.76799999999992</v>
      </c>
      <c r="M153" s="5">
        <f t="shared" si="8"/>
        <v>0.25140757471602992</v>
      </c>
    </row>
    <row r="154" spans="1:13">
      <c r="A154" t="s">
        <v>192</v>
      </c>
      <c r="B154" s="2">
        <v>46231</v>
      </c>
      <c r="C154" t="s">
        <v>14</v>
      </c>
      <c r="D154" t="s">
        <v>20</v>
      </c>
      <c r="E154" t="s">
        <v>21</v>
      </c>
      <c r="F154" t="s">
        <v>43</v>
      </c>
      <c r="G154">
        <v>5</v>
      </c>
      <c r="H154" s="3">
        <v>1217.06</v>
      </c>
      <c r="I154" s="4">
        <v>0</v>
      </c>
      <c r="J154" s="3">
        <v>865.31</v>
      </c>
      <c r="K154" s="3">
        <f t="shared" si="6"/>
        <v>6085.2999999999993</v>
      </c>
      <c r="L154" s="3">
        <f t="shared" si="7"/>
        <v>1758.75</v>
      </c>
      <c r="M154" s="5">
        <f t="shared" si="8"/>
        <v>0.28901615368182343</v>
      </c>
    </row>
    <row r="155" spans="1:13">
      <c r="A155" t="s">
        <v>193</v>
      </c>
      <c r="B155" s="2">
        <v>46042</v>
      </c>
      <c r="C155" t="s">
        <v>14</v>
      </c>
      <c r="D155" t="s">
        <v>24</v>
      </c>
      <c r="E155" t="s">
        <v>45</v>
      </c>
      <c r="F155" t="s">
        <v>17</v>
      </c>
      <c r="G155">
        <v>8</v>
      </c>
      <c r="H155" s="3">
        <v>129.91999999999999</v>
      </c>
      <c r="I155" s="4">
        <v>0.1</v>
      </c>
      <c r="J155" s="3">
        <v>72.87</v>
      </c>
      <c r="K155" s="3">
        <f t="shared" si="6"/>
        <v>935.42399999999998</v>
      </c>
      <c r="L155" s="3">
        <f t="shared" si="7"/>
        <v>352.46399999999994</v>
      </c>
      <c r="M155" s="5">
        <f t="shared" si="8"/>
        <v>0.3767959770114942</v>
      </c>
    </row>
    <row r="156" spans="1:13">
      <c r="A156" t="s">
        <v>194</v>
      </c>
      <c r="B156" s="2">
        <v>46105</v>
      </c>
      <c r="C156" t="s">
        <v>30</v>
      </c>
      <c r="D156" t="s">
        <v>15</v>
      </c>
      <c r="E156" t="s">
        <v>16</v>
      </c>
      <c r="F156" t="s">
        <v>33</v>
      </c>
      <c r="G156">
        <v>8</v>
      </c>
      <c r="H156" s="3">
        <v>69.989999999999995</v>
      </c>
      <c r="I156" s="4">
        <v>0</v>
      </c>
      <c r="J156" s="3">
        <v>31.84</v>
      </c>
      <c r="K156" s="3">
        <f t="shared" si="6"/>
        <v>559.91999999999996</v>
      </c>
      <c r="L156" s="3">
        <f t="shared" si="7"/>
        <v>305.19999999999993</v>
      </c>
      <c r="M156" s="5">
        <f t="shared" si="8"/>
        <v>0.54507786826689519</v>
      </c>
    </row>
    <row r="157" spans="1:13">
      <c r="A157" t="s">
        <v>195</v>
      </c>
      <c r="B157" s="2">
        <v>46174</v>
      </c>
      <c r="C157" t="s">
        <v>14</v>
      </c>
      <c r="D157" t="s">
        <v>20</v>
      </c>
      <c r="E157" t="s">
        <v>35</v>
      </c>
      <c r="F157" t="s">
        <v>28</v>
      </c>
      <c r="G157">
        <v>8</v>
      </c>
      <c r="H157" s="3">
        <v>33.78</v>
      </c>
      <c r="I157" s="4">
        <v>0.05</v>
      </c>
      <c r="J157" s="3">
        <v>16.350000000000001</v>
      </c>
      <c r="K157" s="3">
        <f t="shared" si="6"/>
        <v>256.72800000000001</v>
      </c>
      <c r="L157" s="3">
        <f t="shared" si="7"/>
        <v>125.928</v>
      </c>
      <c r="M157" s="5">
        <f t="shared" si="8"/>
        <v>0.49051135832476395</v>
      </c>
    </row>
    <row r="158" spans="1:13">
      <c r="A158" t="s">
        <v>196</v>
      </c>
      <c r="B158" s="2">
        <v>46188</v>
      </c>
      <c r="C158" t="s">
        <v>30</v>
      </c>
      <c r="D158" t="s">
        <v>20</v>
      </c>
      <c r="E158" t="s">
        <v>37</v>
      </c>
      <c r="F158" t="s">
        <v>28</v>
      </c>
      <c r="G158">
        <v>7</v>
      </c>
      <c r="H158" s="3">
        <v>292.87</v>
      </c>
      <c r="I158" s="4">
        <v>0.05</v>
      </c>
      <c r="J158" s="3">
        <v>183.53</v>
      </c>
      <c r="K158" s="3">
        <f t="shared" si="6"/>
        <v>1947.5855000000001</v>
      </c>
      <c r="L158" s="3">
        <f t="shared" si="7"/>
        <v>662.8755000000001</v>
      </c>
      <c r="M158" s="5">
        <f t="shared" si="8"/>
        <v>0.34035758635500218</v>
      </c>
    </row>
    <row r="159" spans="1:13">
      <c r="A159" t="s">
        <v>197</v>
      </c>
      <c r="B159" s="2">
        <v>46138</v>
      </c>
      <c r="C159" t="s">
        <v>60</v>
      </c>
      <c r="D159" t="s">
        <v>39</v>
      </c>
      <c r="E159" t="s">
        <v>54</v>
      </c>
      <c r="F159" t="s">
        <v>33</v>
      </c>
      <c r="G159">
        <v>8</v>
      </c>
      <c r="H159" s="3">
        <v>439.4</v>
      </c>
      <c r="I159" s="4">
        <v>0.05</v>
      </c>
      <c r="J159" s="3">
        <v>270.68</v>
      </c>
      <c r="K159" s="3">
        <f t="shared" si="6"/>
        <v>3339.4399999999996</v>
      </c>
      <c r="L159" s="3">
        <f t="shared" si="7"/>
        <v>1173.9999999999995</v>
      </c>
      <c r="M159" s="5">
        <f t="shared" si="8"/>
        <v>0.35155594950051494</v>
      </c>
    </row>
    <row r="160" spans="1:13">
      <c r="A160" t="s">
        <v>198</v>
      </c>
      <c r="B160" s="2">
        <v>46205</v>
      </c>
      <c r="C160" t="s">
        <v>14</v>
      </c>
      <c r="D160" t="s">
        <v>39</v>
      </c>
      <c r="E160" t="s">
        <v>65</v>
      </c>
      <c r="F160" t="s">
        <v>17</v>
      </c>
      <c r="G160">
        <v>4</v>
      </c>
      <c r="H160" s="3">
        <v>230.82</v>
      </c>
      <c r="I160" s="4">
        <v>0.1</v>
      </c>
      <c r="J160" s="3">
        <v>130.81</v>
      </c>
      <c r="K160" s="3">
        <f t="shared" si="6"/>
        <v>830.952</v>
      </c>
      <c r="L160" s="3">
        <f t="shared" si="7"/>
        <v>307.71199999999999</v>
      </c>
      <c r="M160" s="5">
        <f t="shared" si="8"/>
        <v>0.37031260530090787</v>
      </c>
    </row>
    <row r="161" spans="1:13">
      <c r="A161" t="s">
        <v>199</v>
      </c>
      <c r="B161" s="2">
        <v>46063</v>
      </c>
      <c r="C161" t="s">
        <v>27</v>
      </c>
      <c r="D161" t="s">
        <v>15</v>
      </c>
      <c r="E161" t="s">
        <v>82</v>
      </c>
      <c r="F161" t="s">
        <v>43</v>
      </c>
      <c r="G161">
        <v>7</v>
      </c>
      <c r="H161" s="3">
        <v>86.79</v>
      </c>
      <c r="I161" s="4">
        <v>0.1</v>
      </c>
      <c r="J161" s="3">
        <v>41.27</v>
      </c>
      <c r="K161" s="3">
        <f t="shared" si="6"/>
        <v>546.77700000000004</v>
      </c>
      <c r="L161" s="3">
        <f t="shared" si="7"/>
        <v>257.887</v>
      </c>
      <c r="M161" s="5">
        <f t="shared" si="8"/>
        <v>0.47164931955806477</v>
      </c>
    </row>
    <row r="162" spans="1:13">
      <c r="A162" t="s">
        <v>200</v>
      </c>
      <c r="B162" s="2">
        <v>46188</v>
      </c>
      <c r="C162" t="s">
        <v>14</v>
      </c>
      <c r="D162" t="s">
        <v>15</v>
      </c>
      <c r="E162" t="s">
        <v>16</v>
      </c>
      <c r="F162" t="s">
        <v>17</v>
      </c>
      <c r="G162">
        <v>7</v>
      </c>
      <c r="H162" s="3">
        <v>71.760000000000005</v>
      </c>
      <c r="I162" s="4">
        <v>0</v>
      </c>
      <c r="J162" s="3">
        <v>32.409999999999997</v>
      </c>
      <c r="K162" s="3">
        <f t="shared" si="6"/>
        <v>502.32000000000005</v>
      </c>
      <c r="L162" s="3">
        <f t="shared" si="7"/>
        <v>275.45000000000005</v>
      </c>
      <c r="M162" s="5">
        <f t="shared" si="8"/>
        <v>0.54835562987736908</v>
      </c>
    </row>
    <row r="163" spans="1:13">
      <c r="A163" t="s">
        <v>201</v>
      </c>
      <c r="B163" s="2">
        <v>46246</v>
      </c>
      <c r="C163" t="s">
        <v>14</v>
      </c>
      <c r="D163" t="s">
        <v>20</v>
      </c>
      <c r="E163" t="s">
        <v>37</v>
      </c>
      <c r="F163" t="s">
        <v>43</v>
      </c>
      <c r="G163">
        <v>3</v>
      </c>
      <c r="H163" s="3">
        <v>286.5</v>
      </c>
      <c r="I163" s="4">
        <v>0.15</v>
      </c>
      <c r="J163" s="3">
        <v>182.3</v>
      </c>
      <c r="K163" s="3">
        <f t="shared" si="6"/>
        <v>730.57499999999993</v>
      </c>
      <c r="L163" s="3">
        <f t="shared" si="7"/>
        <v>183.67499999999984</v>
      </c>
      <c r="M163" s="5">
        <f t="shared" si="8"/>
        <v>0.25141155938815296</v>
      </c>
    </row>
    <row r="164" spans="1:13">
      <c r="A164" t="s">
        <v>202</v>
      </c>
      <c r="B164" s="2">
        <v>46123</v>
      </c>
      <c r="C164" t="s">
        <v>14</v>
      </c>
      <c r="D164" t="s">
        <v>20</v>
      </c>
      <c r="E164" t="s">
        <v>35</v>
      </c>
      <c r="F164" t="s">
        <v>43</v>
      </c>
      <c r="G164">
        <v>7</v>
      </c>
      <c r="H164" s="3">
        <v>34.630000000000003</v>
      </c>
      <c r="I164" s="4">
        <v>0.1</v>
      </c>
      <c r="J164" s="3">
        <v>15.78</v>
      </c>
      <c r="K164" s="3">
        <f t="shared" si="6"/>
        <v>218.16900000000004</v>
      </c>
      <c r="L164" s="3">
        <f t="shared" si="7"/>
        <v>107.70900000000005</v>
      </c>
      <c r="M164" s="5">
        <f t="shared" si="8"/>
        <v>0.49369525459620767</v>
      </c>
    </row>
    <row r="165" spans="1:13">
      <c r="A165" t="s">
        <v>203</v>
      </c>
      <c r="B165" s="2">
        <v>46235</v>
      </c>
      <c r="C165" t="s">
        <v>60</v>
      </c>
      <c r="D165" t="s">
        <v>20</v>
      </c>
      <c r="E165" t="s">
        <v>37</v>
      </c>
      <c r="F165" t="s">
        <v>22</v>
      </c>
      <c r="G165">
        <v>7</v>
      </c>
      <c r="H165" s="3">
        <v>278.88</v>
      </c>
      <c r="I165" s="4">
        <v>0.05</v>
      </c>
      <c r="J165" s="3">
        <v>179.18</v>
      </c>
      <c r="K165" s="3">
        <f t="shared" si="6"/>
        <v>1854.5519999999997</v>
      </c>
      <c r="L165" s="3">
        <f t="shared" si="7"/>
        <v>600.29199999999969</v>
      </c>
      <c r="M165" s="5">
        <f t="shared" si="8"/>
        <v>0.32368572032490855</v>
      </c>
    </row>
    <row r="166" spans="1:13">
      <c r="A166" t="s">
        <v>204</v>
      </c>
      <c r="B166" s="2">
        <v>46110</v>
      </c>
      <c r="C166" t="s">
        <v>60</v>
      </c>
      <c r="D166" t="s">
        <v>24</v>
      </c>
      <c r="E166" t="s">
        <v>25</v>
      </c>
      <c r="F166" t="s">
        <v>28</v>
      </c>
      <c r="G166">
        <v>4</v>
      </c>
      <c r="H166" s="3">
        <v>175.31</v>
      </c>
      <c r="I166" s="4">
        <v>0.2</v>
      </c>
      <c r="J166" s="3">
        <v>109.43</v>
      </c>
      <c r="K166" s="3">
        <f t="shared" si="6"/>
        <v>560.99200000000008</v>
      </c>
      <c r="L166" s="3">
        <f t="shared" si="7"/>
        <v>123.27200000000005</v>
      </c>
      <c r="M166" s="5">
        <f t="shared" si="8"/>
        <v>0.21973931892076898</v>
      </c>
    </row>
    <row r="167" spans="1:13">
      <c r="A167" t="s">
        <v>205</v>
      </c>
      <c r="B167" s="2">
        <v>46152</v>
      </c>
      <c r="C167" t="s">
        <v>30</v>
      </c>
      <c r="D167" t="s">
        <v>20</v>
      </c>
      <c r="E167" t="s">
        <v>37</v>
      </c>
      <c r="F167" t="s">
        <v>22</v>
      </c>
      <c r="G167">
        <v>6</v>
      </c>
      <c r="H167" s="3">
        <v>294.52999999999997</v>
      </c>
      <c r="I167" s="4">
        <v>0.15</v>
      </c>
      <c r="J167" s="3">
        <v>181.78</v>
      </c>
      <c r="K167" s="3">
        <f t="shared" si="6"/>
        <v>1502.1029999999998</v>
      </c>
      <c r="L167" s="3">
        <f t="shared" si="7"/>
        <v>411.42299999999977</v>
      </c>
      <c r="M167" s="5">
        <f t="shared" si="8"/>
        <v>0.27389799501099449</v>
      </c>
    </row>
    <row r="168" spans="1:13">
      <c r="A168" t="s">
        <v>206</v>
      </c>
      <c r="B168" s="2">
        <v>46064</v>
      </c>
      <c r="C168" t="s">
        <v>14</v>
      </c>
      <c r="D168" t="s">
        <v>39</v>
      </c>
      <c r="E168" t="s">
        <v>40</v>
      </c>
      <c r="F168" t="s">
        <v>47</v>
      </c>
      <c r="G168">
        <v>8</v>
      </c>
      <c r="H168" s="3">
        <v>54.6</v>
      </c>
      <c r="I168" s="4">
        <v>0</v>
      </c>
      <c r="J168" s="3">
        <v>24.38</v>
      </c>
      <c r="K168" s="3">
        <f t="shared" si="6"/>
        <v>436.8</v>
      </c>
      <c r="L168" s="3">
        <f t="shared" si="7"/>
        <v>241.76000000000002</v>
      </c>
      <c r="M168" s="5">
        <f t="shared" si="8"/>
        <v>0.55347985347985351</v>
      </c>
    </row>
    <row r="169" spans="1:13">
      <c r="A169" t="s">
        <v>207</v>
      </c>
      <c r="B169" s="2">
        <v>46179</v>
      </c>
      <c r="C169" t="s">
        <v>14</v>
      </c>
      <c r="D169" t="s">
        <v>24</v>
      </c>
      <c r="E169" t="s">
        <v>25</v>
      </c>
      <c r="F169" t="s">
        <v>22</v>
      </c>
      <c r="G169">
        <v>4</v>
      </c>
      <c r="H169" s="3">
        <v>185.9</v>
      </c>
      <c r="I169" s="4">
        <v>0</v>
      </c>
      <c r="J169" s="3">
        <v>110.38</v>
      </c>
      <c r="K169" s="3">
        <f t="shared" si="6"/>
        <v>743.6</v>
      </c>
      <c r="L169" s="3">
        <f t="shared" si="7"/>
        <v>302.08000000000004</v>
      </c>
      <c r="M169" s="5">
        <f t="shared" si="8"/>
        <v>0.40623991393222164</v>
      </c>
    </row>
    <row r="170" spans="1:13">
      <c r="A170" t="s">
        <v>208</v>
      </c>
      <c r="B170" s="2">
        <v>46117</v>
      </c>
      <c r="C170" t="s">
        <v>19</v>
      </c>
      <c r="D170" t="s">
        <v>24</v>
      </c>
      <c r="E170" t="s">
        <v>45</v>
      </c>
      <c r="F170" t="s">
        <v>22</v>
      </c>
      <c r="G170">
        <v>5</v>
      </c>
      <c r="H170" s="3">
        <v>125.66</v>
      </c>
      <c r="I170" s="4">
        <v>0.1</v>
      </c>
      <c r="J170" s="3">
        <v>72.069999999999993</v>
      </c>
      <c r="K170" s="3">
        <f t="shared" si="6"/>
        <v>565.47</v>
      </c>
      <c r="L170" s="3">
        <f t="shared" si="7"/>
        <v>205.12000000000006</v>
      </c>
      <c r="M170" s="5">
        <f t="shared" si="8"/>
        <v>0.36274249739155046</v>
      </c>
    </row>
    <row r="171" spans="1:13">
      <c r="A171" t="s">
        <v>209</v>
      </c>
      <c r="B171" s="2">
        <v>46232</v>
      </c>
      <c r="C171" t="s">
        <v>14</v>
      </c>
      <c r="D171" t="s">
        <v>39</v>
      </c>
      <c r="E171" t="s">
        <v>54</v>
      </c>
      <c r="F171" t="s">
        <v>28</v>
      </c>
      <c r="G171">
        <v>1</v>
      </c>
      <c r="H171" s="3">
        <v>436.24</v>
      </c>
      <c r="I171" s="4">
        <v>0.1</v>
      </c>
      <c r="J171" s="3">
        <v>272.08999999999997</v>
      </c>
      <c r="K171" s="3">
        <f t="shared" si="6"/>
        <v>392.61600000000004</v>
      </c>
      <c r="L171" s="3">
        <f t="shared" si="7"/>
        <v>120.52600000000007</v>
      </c>
      <c r="M171" s="5">
        <f t="shared" si="8"/>
        <v>0.3069818856083299</v>
      </c>
    </row>
    <row r="172" spans="1:13">
      <c r="A172" t="s">
        <v>210</v>
      </c>
      <c r="B172" s="2">
        <v>46205</v>
      </c>
      <c r="C172" t="s">
        <v>30</v>
      </c>
      <c r="D172" t="s">
        <v>20</v>
      </c>
      <c r="E172" t="s">
        <v>35</v>
      </c>
      <c r="F172" t="s">
        <v>22</v>
      </c>
      <c r="G172">
        <v>2</v>
      </c>
      <c r="H172" s="3">
        <v>34.46</v>
      </c>
      <c r="I172" s="4">
        <v>0.1</v>
      </c>
      <c r="J172" s="3">
        <v>16.399999999999999</v>
      </c>
      <c r="K172" s="3">
        <f t="shared" si="6"/>
        <v>62.028000000000006</v>
      </c>
      <c r="L172" s="3">
        <f t="shared" si="7"/>
        <v>29.228000000000009</v>
      </c>
      <c r="M172" s="5">
        <f t="shared" si="8"/>
        <v>0.47120655187979632</v>
      </c>
    </row>
    <row r="173" spans="1:13">
      <c r="A173" t="s">
        <v>211</v>
      </c>
      <c r="B173" s="2">
        <v>46235</v>
      </c>
      <c r="C173" t="s">
        <v>27</v>
      </c>
      <c r="D173" t="s">
        <v>39</v>
      </c>
      <c r="E173" t="s">
        <v>54</v>
      </c>
      <c r="F173" t="s">
        <v>33</v>
      </c>
      <c r="G173">
        <v>6</v>
      </c>
      <c r="H173" s="3">
        <v>418.88</v>
      </c>
      <c r="I173" s="4">
        <v>0.2</v>
      </c>
      <c r="J173" s="3">
        <v>269.95</v>
      </c>
      <c r="K173" s="3">
        <f t="shared" si="6"/>
        <v>2010.6239999999998</v>
      </c>
      <c r="L173" s="3">
        <f t="shared" si="7"/>
        <v>390.92399999999998</v>
      </c>
      <c r="M173" s="5">
        <f t="shared" si="8"/>
        <v>0.19442919213139803</v>
      </c>
    </row>
    <row r="174" spans="1:13">
      <c r="A174" t="s">
        <v>212</v>
      </c>
      <c r="B174" s="2">
        <v>46083</v>
      </c>
      <c r="C174" t="s">
        <v>27</v>
      </c>
      <c r="D174" t="s">
        <v>20</v>
      </c>
      <c r="E174" t="s">
        <v>35</v>
      </c>
      <c r="F174" t="s">
        <v>43</v>
      </c>
      <c r="G174">
        <v>4</v>
      </c>
      <c r="H174" s="3">
        <v>36.53</v>
      </c>
      <c r="I174" s="4">
        <v>0</v>
      </c>
      <c r="J174" s="3">
        <v>16.350000000000001</v>
      </c>
      <c r="K174" s="3">
        <f t="shared" si="6"/>
        <v>146.12</v>
      </c>
      <c r="L174" s="3">
        <f t="shared" si="7"/>
        <v>80.72</v>
      </c>
      <c r="M174" s="5">
        <f t="shared" si="8"/>
        <v>0.55242266630166981</v>
      </c>
    </row>
    <row r="175" spans="1:13">
      <c r="A175" t="s">
        <v>213</v>
      </c>
      <c r="B175" s="2">
        <v>46108</v>
      </c>
      <c r="C175" t="s">
        <v>30</v>
      </c>
      <c r="D175" t="s">
        <v>39</v>
      </c>
      <c r="E175" t="s">
        <v>65</v>
      </c>
      <c r="F175" t="s">
        <v>43</v>
      </c>
      <c r="G175">
        <v>5</v>
      </c>
      <c r="H175" s="3">
        <v>220.55</v>
      </c>
      <c r="I175" s="4">
        <v>0.15</v>
      </c>
      <c r="J175" s="3">
        <v>132.80000000000001</v>
      </c>
      <c r="K175" s="3">
        <f t="shared" si="6"/>
        <v>937.33749999999998</v>
      </c>
      <c r="L175" s="3">
        <f t="shared" si="7"/>
        <v>273.33749999999998</v>
      </c>
      <c r="M175" s="5">
        <f t="shared" si="8"/>
        <v>0.29161054582794349</v>
      </c>
    </row>
    <row r="176" spans="1:13">
      <c r="A176" t="s">
        <v>214</v>
      </c>
      <c r="B176" s="2">
        <v>46143</v>
      </c>
      <c r="C176" t="s">
        <v>27</v>
      </c>
      <c r="D176" t="s">
        <v>20</v>
      </c>
      <c r="E176" t="s">
        <v>21</v>
      </c>
      <c r="F176" t="s">
        <v>43</v>
      </c>
      <c r="G176">
        <v>1</v>
      </c>
      <c r="H176" s="3">
        <v>1242.18</v>
      </c>
      <c r="I176" s="4">
        <v>0</v>
      </c>
      <c r="J176" s="3">
        <v>856.32</v>
      </c>
      <c r="K176" s="3">
        <f t="shared" si="6"/>
        <v>1242.18</v>
      </c>
      <c r="L176" s="3">
        <f t="shared" si="7"/>
        <v>385.86</v>
      </c>
      <c r="M176" s="5">
        <f t="shared" si="8"/>
        <v>0.31063130947205719</v>
      </c>
    </row>
    <row r="177" spans="1:13">
      <c r="A177" t="s">
        <v>215</v>
      </c>
      <c r="B177" s="2">
        <v>46178</v>
      </c>
      <c r="C177" t="s">
        <v>27</v>
      </c>
      <c r="D177" t="s">
        <v>20</v>
      </c>
      <c r="E177" t="s">
        <v>35</v>
      </c>
      <c r="F177" t="s">
        <v>17</v>
      </c>
      <c r="G177">
        <v>4</v>
      </c>
      <c r="H177" s="3">
        <v>33.75</v>
      </c>
      <c r="I177" s="4">
        <v>0</v>
      </c>
      <c r="J177" s="3">
        <v>16.02</v>
      </c>
      <c r="K177" s="3">
        <f t="shared" si="6"/>
        <v>135</v>
      </c>
      <c r="L177" s="3">
        <f t="shared" si="7"/>
        <v>70.92</v>
      </c>
      <c r="M177" s="5">
        <f t="shared" si="8"/>
        <v>0.52533333333333332</v>
      </c>
    </row>
    <row r="178" spans="1:13">
      <c r="A178" t="s">
        <v>216</v>
      </c>
      <c r="B178" s="2">
        <v>46140</v>
      </c>
      <c r="C178" t="s">
        <v>14</v>
      </c>
      <c r="D178" t="s">
        <v>24</v>
      </c>
      <c r="E178" t="s">
        <v>56</v>
      </c>
      <c r="F178" t="s">
        <v>33</v>
      </c>
      <c r="G178">
        <v>1</v>
      </c>
      <c r="H178" s="3">
        <v>65.760000000000005</v>
      </c>
      <c r="I178" s="4">
        <v>0.1</v>
      </c>
      <c r="J178" s="3">
        <v>29.46</v>
      </c>
      <c r="K178" s="3">
        <f t="shared" si="6"/>
        <v>59.184000000000005</v>
      </c>
      <c r="L178" s="3">
        <f t="shared" si="7"/>
        <v>29.724000000000004</v>
      </c>
      <c r="M178" s="5">
        <f t="shared" si="8"/>
        <v>0.50223033252230331</v>
      </c>
    </row>
    <row r="179" spans="1:13">
      <c r="A179" t="s">
        <v>217</v>
      </c>
      <c r="B179" s="2">
        <v>46132</v>
      </c>
      <c r="C179" t="s">
        <v>14</v>
      </c>
      <c r="D179" t="s">
        <v>15</v>
      </c>
      <c r="E179" t="s">
        <v>16</v>
      </c>
      <c r="F179" t="s">
        <v>33</v>
      </c>
      <c r="G179">
        <v>7</v>
      </c>
      <c r="H179" s="3">
        <v>71.41</v>
      </c>
      <c r="I179" s="4">
        <v>0</v>
      </c>
      <c r="J179" s="3">
        <v>32.200000000000003</v>
      </c>
      <c r="K179" s="3">
        <f t="shared" si="6"/>
        <v>499.87</v>
      </c>
      <c r="L179" s="3">
        <f t="shared" si="7"/>
        <v>274.46999999999997</v>
      </c>
      <c r="M179" s="5">
        <f t="shared" si="8"/>
        <v>0.54908276151799462</v>
      </c>
    </row>
    <row r="180" spans="1:13">
      <c r="A180" t="s">
        <v>218</v>
      </c>
      <c r="B180" s="2">
        <v>46040</v>
      </c>
      <c r="C180" t="s">
        <v>60</v>
      </c>
      <c r="D180" t="s">
        <v>20</v>
      </c>
      <c r="E180" t="s">
        <v>35</v>
      </c>
      <c r="F180" t="s">
        <v>43</v>
      </c>
      <c r="G180">
        <v>8</v>
      </c>
      <c r="H180" s="3">
        <v>34.82</v>
      </c>
      <c r="I180" s="4">
        <v>0</v>
      </c>
      <c r="J180" s="3">
        <v>15.98</v>
      </c>
      <c r="K180" s="3">
        <f t="shared" si="6"/>
        <v>278.56</v>
      </c>
      <c r="L180" s="3">
        <f t="shared" si="7"/>
        <v>150.72</v>
      </c>
      <c r="M180" s="5">
        <f t="shared" si="8"/>
        <v>0.54106835152211374</v>
      </c>
    </row>
    <row r="181" spans="1:13">
      <c r="A181" t="s">
        <v>219</v>
      </c>
      <c r="B181" s="2">
        <v>46027</v>
      </c>
      <c r="C181" t="s">
        <v>14</v>
      </c>
      <c r="D181" t="s">
        <v>20</v>
      </c>
      <c r="E181" t="s">
        <v>35</v>
      </c>
      <c r="F181" t="s">
        <v>43</v>
      </c>
      <c r="G181">
        <v>4</v>
      </c>
      <c r="H181" s="3">
        <v>35.58</v>
      </c>
      <c r="I181" s="4">
        <v>0.1</v>
      </c>
      <c r="J181" s="3">
        <v>16.3</v>
      </c>
      <c r="K181" s="3">
        <f t="shared" si="6"/>
        <v>128.08799999999999</v>
      </c>
      <c r="L181" s="3">
        <f t="shared" si="7"/>
        <v>62.887999999999991</v>
      </c>
      <c r="M181" s="5">
        <f t="shared" si="8"/>
        <v>0.4909749547186309</v>
      </c>
    </row>
    <row r="182" spans="1:13">
      <c r="A182" t="s">
        <v>220</v>
      </c>
      <c r="B182" s="2">
        <v>46216</v>
      </c>
      <c r="C182" t="s">
        <v>14</v>
      </c>
      <c r="D182" t="s">
        <v>20</v>
      </c>
      <c r="E182" t="s">
        <v>35</v>
      </c>
      <c r="F182" t="s">
        <v>47</v>
      </c>
      <c r="G182">
        <v>6</v>
      </c>
      <c r="H182" s="3">
        <v>34.15</v>
      </c>
      <c r="I182" s="4">
        <v>0.15</v>
      </c>
      <c r="J182" s="3">
        <v>16.3</v>
      </c>
      <c r="K182" s="3">
        <f t="shared" si="6"/>
        <v>174.16499999999996</v>
      </c>
      <c r="L182" s="3">
        <f t="shared" si="7"/>
        <v>76.364999999999952</v>
      </c>
      <c r="M182" s="5">
        <f t="shared" si="8"/>
        <v>0.43846352596675547</v>
      </c>
    </row>
    <row r="183" spans="1:13">
      <c r="A183" t="s">
        <v>221</v>
      </c>
      <c r="B183" s="2">
        <v>46201</v>
      </c>
      <c r="C183" t="s">
        <v>27</v>
      </c>
      <c r="D183" t="s">
        <v>39</v>
      </c>
      <c r="E183" t="s">
        <v>65</v>
      </c>
      <c r="F183" t="s">
        <v>22</v>
      </c>
      <c r="G183">
        <v>2</v>
      </c>
      <c r="H183" s="3">
        <v>229.88</v>
      </c>
      <c r="I183" s="4">
        <v>0.1</v>
      </c>
      <c r="J183" s="3">
        <v>127.64</v>
      </c>
      <c r="K183" s="3">
        <f t="shared" si="6"/>
        <v>413.78399999999999</v>
      </c>
      <c r="L183" s="3">
        <f t="shared" si="7"/>
        <v>158.50399999999999</v>
      </c>
      <c r="M183" s="5">
        <f t="shared" si="8"/>
        <v>0.38305976064806757</v>
      </c>
    </row>
    <row r="184" spans="1:13">
      <c r="A184" t="s">
        <v>222</v>
      </c>
      <c r="B184" s="2">
        <v>46034</v>
      </c>
      <c r="C184" t="s">
        <v>30</v>
      </c>
      <c r="D184" t="s">
        <v>20</v>
      </c>
      <c r="E184" t="s">
        <v>35</v>
      </c>
      <c r="F184" t="s">
        <v>33</v>
      </c>
      <c r="G184">
        <v>5</v>
      </c>
      <c r="H184" s="3">
        <v>36.72</v>
      </c>
      <c r="I184" s="4">
        <v>0.05</v>
      </c>
      <c r="J184" s="3">
        <v>16.11</v>
      </c>
      <c r="K184" s="3">
        <f t="shared" si="6"/>
        <v>174.42</v>
      </c>
      <c r="L184" s="3">
        <f t="shared" si="7"/>
        <v>93.86999999999999</v>
      </c>
      <c r="M184" s="5">
        <f t="shared" si="8"/>
        <v>0.53818369453044379</v>
      </c>
    </row>
    <row r="185" spans="1:13">
      <c r="A185" t="s">
        <v>223</v>
      </c>
      <c r="B185" s="2">
        <v>46032</v>
      </c>
      <c r="C185" t="s">
        <v>30</v>
      </c>
      <c r="D185" t="s">
        <v>39</v>
      </c>
      <c r="E185" t="s">
        <v>54</v>
      </c>
      <c r="F185" t="s">
        <v>33</v>
      </c>
      <c r="G185">
        <v>6</v>
      </c>
      <c r="H185" s="3">
        <v>405.01</v>
      </c>
      <c r="I185" s="4">
        <v>0.15</v>
      </c>
      <c r="J185" s="3">
        <v>273.45</v>
      </c>
      <c r="K185" s="3">
        <f t="shared" si="6"/>
        <v>2065.5509999999999</v>
      </c>
      <c r="L185" s="3">
        <f t="shared" si="7"/>
        <v>424.85100000000011</v>
      </c>
      <c r="M185" s="5">
        <f t="shared" si="8"/>
        <v>0.20568410075568219</v>
      </c>
    </row>
    <row r="186" spans="1:13">
      <c r="A186" t="s">
        <v>224</v>
      </c>
      <c r="B186" s="2">
        <v>46054</v>
      </c>
      <c r="C186" t="s">
        <v>30</v>
      </c>
      <c r="D186" t="s">
        <v>24</v>
      </c>
      <c r="E186" t="s">
        <v>45</v>
      </c>
      <c r="F186" t="s">
        <v>47</v>
      </c>
      <c r="G186">
        <v>8</v>
      </c>
      <c r="H186" s="3">
        <v>124.35</v>
      </c>
      <c r="I186" s="4">
        <v>0.15</v>
      </c>
      <c r="J186" s="3">
        <v>74.069999999999993</v>
      </c>
      <c r="K186" s="3">
        <f t="shared" si="6"/>
        <v>845.57999999999993</v>
      </c>
      <c r="L186" s="3">
        <f t="shared" si="7"/>
        <v>253.01999999999998</v>
      </c>
      <c r="M186" s="5">
        <f t="shared" si="8"/>
        <v>0.29922656638047257</v>
      </c>
    </row>
    <row r="187" spans="1:13">
      <c r="A187" t="s">
        <v>225</v>
      </c>
      <c r="B187" s="2">
        <v>46200</v>
      </c>
      <c r="C187" t="s">
        <v>27</v>
      </c>
      <c r="D187" t="s">
        <v>15</v>
      </c>
      <c r="E187" t="s">
        <v>16</v>
      </c>
      <c r="F187" t="s">
        <v>17</v>
      </c>
      <c r="G187">
        <v>7</v>
      </c>
      <c r="H187" s="3">
        <v>71</v>
      </c>
      <c r="I187" s="4">
        <v>0</v>
      </c>
      <c r="J187" s="3">
        <v>32.68</v>
      </c>
      <c r="K187" s="3">
        <f t="shared" si="6"/>
        <v>497</v>
      </c>
      <c r="L187" s="3">
        <f t="shared" si="7"/>
        <v>268.24</v>
      </c>
      <c r="M187" s="5">
        <f t="shared" si="8"/>
        <v>0.53971830985915492</v>
      </c>
    </row>
    <row r="188" spans="1:13">
      <c r="A188" t="s">
        <v>226</v>
      </c>
      <c r="B188" s="2">
        <v>46098</v>
      </c>
      <c r="C188" t="s">
        <v>14</v>
      </c>
      <c r="D188" t="s">
        <v>20</v>
      </c>
      <c r="E188" t="s">
        <v>35</v>
      </c>
      <c r="F188" t="s">
        <v>43</v>
      </c>
      <c r="G188">
        <v>5</v>
      </c>
      <c r="H188" s="3">
        <v>35.5</v>
      </c>
      <c r="I188" s="4">
        <v>0</v>
      </c>
      <c r="J188" s="3">
        <v>16.02</v>
      </c>
      <c r="K188" s="3">
        <f t="shared" si="6"/>
        <v>177.5</v>
      </c>
      <c r="L188" s="3">
        <f t="shared" si="7"/>
        <v>97.4</v>
      </c>
      <c r="M188" s="5">
        <f t="shared" si="8"/>
        <v>0.54873239436619725</v>
      </c>
    </row>
    <row r="189" spans="1:13">
      <c r="A189" t="s">
        <v>227</v>
      </c>
      <c r="B189" s="2">
        <v>46136</v>
      </c>
      <c r="C189" t="s">
        <v>14</v>
      </c>
      <c r="D189" t="s">
        <v>20</v>
      </c>
      <c r="E189" t="s">
        <v>37</v>
      </c>
      <c r="F189" t="s">
        <v>28</v>
      </c>
      <c r="G189">
        <v>6</v>
      </c>
      <c r="H189" s="3">
        <v>289.75</v>
      </c>
      <c r="I189" s="4">
        <v>0.1</v>
      </c>
      <c r="J189" s="3">
        <v>182.16</v>
      </c>
      <c r="K189" s="3">
        <f t="shared" si="6"/>
        <v>1564.65</v>
      </c>
      <c r="L189" s="3">
        <f t="shared" si="7"/>
        <v>471.69000000000005</v>
      </c>
      <c r="M189" s="5">
        <f t="shared" si="8"/>
        <v>0.30146678170836932</v>
      </c>
    </row>
    <row r="190" spans="1:13">
      <c r="A190" t="s">
        <v>228</v>
      </c>
      <c r="B190" s="2">
        <v>46042</v>
      </c>
      <c r="C190" t="s">
        <v>19</v>
      </c>
      <c r="D190" t="s">
        <v>24</v>
      </c>
      <c r="E190" t="s">
        <v>45</v>
      </c>
      <c r="F190" t="s">
        <v>47</v>
      </c>
      <c r="G190">
        <v>3</v>
      </c>
      <c r="H190" s="3">
        <v>121.61</v>
      </c>
      <c r="I190" s="4">
        <v>0.2</v>
      </c>
      <c r="J190" s="3">
        <v>72.75</v>
      </c>
      <c r="K190" s="3">
        <f t="shared" si="6"/>
        <v>291.86399999999998</v>
      </c>
      <c r="L190" s="3">
        <f t="shared" si="7"/>
        <v>73.613999999999976</v>
      </c>
      <c r="M190" s="5">
        <f t="shared" si="8"/>
        <v>0.25222021215360574</v>
      </c>
    </row>
    <row r="191" spans="1:13">
      <c r="A191" t="s">
        <v>229</v>
      </c>
      <c r="B191" s="2">
        <v>46031</v>
      </c>
      <c r="C191" t="s">
        <v>14</v>
      </c>
      <c r="D191" t="s">
        <v>39</v>
      </c>
      <c r="E191" t="s">
        <v>40</v>
      </c>
      <c r="F191" t="s">
        <v>22</v>
      </c>
      <c r="G191">
        <v>6</v>
      </c>
      <c r="H191" s="3">
        <v>57.5</v>
      </c>
      <c r="I191" s="4">
        <v>0.05</v>
      </c>
      <c r="J191" s="3">
        <v>23.56</v>
      </c>
      <c r="K191" s="3">
        <f t="shared" si="6"/>
        <v>327.75</v>
      </c>
      <c r="L191" s="3">
        <f t="shared" si="7"/>
        <v>186.39000000000001</v>
      </c>
      <c r="M191" s="5">
        <f t="shared" si="8"/>
        <v>0.56869565217391305</v>
      </c>
    </row>
    <row r="192" spans="1:13">
      <c r="A192" t="s">
        <v>230</v>
      </c>
      <c r="B192" s="2">
        <v>46196</v>
      </c>
      <c r="C192" t="s">
        <v>27</v>
      </c>
      <c r="D192" t="s">
        <v>15</v>
      </c>
      <c r="E192" t="s">
        <v>82</v>
      </c>
      <c r="F192" t="s">
        <v>47</v>
      </c>
      <c r="G192">
        <v>8</v>
      </c>
      <c r="H192" s="3">
        <v>85.99</v>
      </c>
      <c r="I192" s="4">
        <v>0.1</v>
      </c>
      <c r="J192" s="3">
        <v>42.27</v>
      </c>
      <c r="K192" s="3">
        <f t="shared" si="6"/>
        <v>619.12799999999993</v>
      </c>
      <c r="L192" s="3">
        <f t="shared" si="7"/>
        <v>280.9679999999999</v>
      </c>
      <c r="M192" s="5">
        <f t="shared" si="8"/>
        <v>0.45381245881304016</v>
      </c>
    </row>
    <row r="193" spans="1:13">
      <c r="A193" t="s">
        <v>231</v>
      </c>
      <c r="B193" s="2">
        <v>46103</v>
      </c>
      <c r="C193" t="s">
        <v>19</v>
      </c>
      <c r="D193" t="s">
        <v>39</v>
      </c>
      <c r="E193" t="s">
        <v>65</v>
      </c>
      <c r="F193" t="s">
        <v>17</v>
      </c>
      <c r="G193">
        <v>1</v>
      </c>
      <c r="H193" s="3">
        <v>221.08</v>
      </c>
      <c r="I193" s="4">
        <v>0.1</v>
      </c>
      <c r="J193" s="3">
        <v>129.91999999999999</v>
      </c>
      <c r="K193" s="3">
        <f t="shared" si="6"/>
        <v>198.97200000000001</v>
      </c>
      <c r="L193" s="3">
        <f t="shared" si="7"/>
        <v>69.052000000000021</v>
      </c>
      <c r="M193" s="5">
        <f t="shared" si="8"/>
        <v>0.34704380515851485</v>
      </c>
    </row>
    <row r="194" spans="1:13">
      <c r="A194" t="s">
        <v>232</v>
      </c>
      <c r="B194" s="2">
        <v>46053</v>
      </c>
      <c r="C194" t="s">
        <v>14</v>
      </c>
      <c r="D194" t="s">
        <v>15</v>
      </c>
      <c r="E194" t="s">
        <v>32</v>
      </c>
      <c r="F194" t="s">
        <v>47</v>
      </c>
      <c r="G194">
        <v>8</v>
      </c>
      <c r="H194" s="3">
        <v>96.43</v>
      </c>
      <c r="I194" s="4">
        <v>0</v>
      </c>
      <c r="J194" s="3">
        <v>48.71</v>
      </c>
      <c r="K194" s="3">
        <f t="shared" ref="K194:K257" si="9">G194*H194*(1-I194)</f>
        <v>771.44</v>
      </c>
      <c r="L194" s="3">
        <f t="shared" ref="L194:L257" si="10">K194-(G194*J194)</f>
        <v>381.76000000000005</v>
      </c>
      <c r="M194" s="5">
        <f t="shared" ref="M194:M257" si="11">IFERROR(L194/K194,0)</f>
        <v>0.49486674271492276</v>
      </c>
    </row>
    <row r="195" spans="1:13">
      <c r="A195" t="s">
        <v>233</v>
      </c>
      <c r="B195" s="2">
        <v>46074</v>
      </c>
      <c r="C195" t="s">
        <v>14</v>
      </c>
      <c r="D195" t="s">
        <v>20</v>
      </c>
      <c r="E195" t="s">
        <v>35</v>
      </c>
      <c r="F195" t="s">
        <v>43</v>
      </c>
      <c r="G195">
        <v>3</v>
      </c>
      <c r="H195" s="3">
        <v>35</v>
      </c>
      <c r="I195" s="4">
        <v>0.15</v>
      </c>
      <c r="J195" s="3">
        <v>15.75</v>
      </c>
      <c r="K195" s="3">
        <f t="shared" si="9"/>
        <v>89.25</v>
      </c>
      <c r="L195" s="3">
        <f t="shared" si="10"/>
        <v>42</v>
      </c>
      <c r="M195" s="5">
        <f t="shared" si="11"/>
        <v>0.47058823529411764</v>
      </c>
    </row>
    <row r="196" spans="1:13">
      <c r="A196" t="s">
        <v>234</v>
      </c>
      <c r="B196" s="2">
        <v>46239</v>
      </c>
      <c r="C196" t="s">
        <v>60</v>
      </c>
      <c r="D196" t="s">
        <v>15</v>
      </c>
      <c r="E196" t="s">
        <v>32</v>
      </c>
      <c r="F196" t="s">
        <v>22</v>
      </c>
      <c r="G196">
        <v>2</v>
      </c>
      <c r="H196" s="3">
        <v>93.68</v>
      </c>
      <c r="I196" s="4">
        <v>0.05</v>
      </c>
      <c r="J196" s="3">
        <v>47.76</v>
      </c>
      <c r="K196" s="3">
        <f t="shared" si="9"/>
        <v>177.99200000000002</v>
      </c>
      <c r="L196" s="3">
        <f t="shared" si="10"/>
        <v>82.472000000000023</v>
      </c>
      <c r="M196" s="5">
        <f t="shared" si="11"/>
        <v>0.46334666726594459</v>
      </c>
    </row>
    <row r="197" spans="1:13">
      <c r="A197" t="s">
        <v>235</v>
      </c>
      <c r="B197" s="2">
        <v>46205</v>
      </c>
      <c r="C197" t="s">
        <v>19</v>
      </c>
      <c r="D197" t="s">
        <v>39</v>
      </c>
      <c r="E197" t="s">
        <v>54</v>
      </c>
      <c r="F197" t="s">
        <v>47</v>
      </c>
      <c r="G197">
        <v>4</v>
      </c>
      <c r="H197" s="3">
        <v>410.8</v>
      </c>
      <c r="I197" s="4">
        <v>0</v>
      </c>
      <c r="J197" s="3">
        <v>266.47000000000003</v>
      </c>
      <c r="K197" s="3">
        <f t="shared" si="9"/>
        <v>1643.2</v>
      </c>
      <c r="L197" s="3">
        <f t="shared" si="10"/>
        <v>577.31999999999994</v>
      </c>
      <c r="M197" s="5">
        <f t="shared" si="11"/>
        <v>0.35133885102239526</v>
      </c>
    </row>
    <row r="198" spans="1:13">
      <c r="A198" t="s">
        <v>236</v>
      </c>
      <c r="B198" s="2">
        <v>46029</v>
      </c>
      <c r="C198" t="s">
        <v>27</v>
      </c>
      <c r="D198" t="s">
        <v>15</v>
      </c>
      <c r="E198" t="s">
        <v>82</v>
      </c>
      <c r="F198" t="s">
        <v>43</v>
      </c>
      <c r="G198">
        <v>3</v>
      </c>
      <c r="H198" s="3">
        <v>82.26</v>
      </c>
      <c r="I198" s="4">
        <v>0.1</v>
      </c>
      <c r="J198" s="3">
        <v>41.81</v>
      </c>
      <c r="K198" s="3">
        <f t="shared" si="9"/>
        <v>222.10200000000003</v>
      </c>
      <c r="L198" s="3">
        <f t="shared" si="10"/>
        <v>96.672000000000025</v>
      </c>
      <c r="M198" s="5">
        <f t="shared" si="11"/>
        <v>0.43525947537617854</v>
      </c>
    </row>
    <row r="199" spans="1:13">
      <c r="A199" t="s">
        <v>237</v>
      </c>
      <c r="B199" s="2">
        <v>46207</v>
      </c>
      <c r="C199" t="s">
        <v>27</v>
      </c>
      <c r="D199" t="s">
        <v>24</v>
      </c>
      <c r="E199" t="s">
        <v>45</v>
      </c>
      <c r="F199" t="s">
        <v>47</v>
      </c>
      <c r="G199">
        <v>2</v>
      </c>
      <c r="H199" s="3">
        <v>123.57</v>
      </c>
      <c r="I199" s="4">
        <v>0</v>
      </c>
      <c r="J199" s="3">
        <v>70.83</v>
      </c>
      <c r="K199" s="3">
        <f t="shared" si="9"/>
        <v>247.14</v>
      </c>
      <c r="L199" s="3">
        <f t="shared" si="10"/>
        <v>105.47999999999999</v>
      </c>
      <c r="M199" s="5">
        <f t="shared" si="11"/>
        <v>0.42680262199563002</v>
      </c>
    </row>
    <row r="200" spans="1:13">
      <c r="A200" t="s">
        <v>238</v>
      </c>
      <c r="B200" s="2">
        <v>46197</v>
      </c>
      <c r="C200" t="s">
        <v>27</v>
      </c>
      <c r="D200" t="s">
        <v>39</v>
      </c>
      <c r="E200" t="s">
        <v>40</v>
      </c>
      <c r="F200" t="s">
        <v>28</v>
      </c>
      <c r="G200">
        <v>3</v>
      </c>
      <c r="H200" s="3">
        <v>53.44</v>
      </c>
      <c r="I200" s="4">
        <v>0.1</v>
      </c>
      <c r="J200" s="3">
        <v>24.12</v>
      </c>
      <c r="K200" s="3">
        <f t="shared" si="9"/>
        <v>144.28800000000001</v>
      </c>
      <c r="L200" s="3">
        <f t="shared" si="10"/>
        <v>71.928000000000011</v>
      </c>
      <c r="M200" s="5">
        <f t="shared" si="11"/>
        <v>0.49850299401197606</v>
      </c>
    </row>
    <row r="201" spans="1:13">
      <c r="A201" t="s">
        <v>239</v>
      </c>
      <c r="B201" s="2">
        <v>46235</v>
      </c>
      <c r="C201" t="s">
        <v>14</v>
      </c>
      <c r="D201" t="s">
        <v>39</v>
      </c>
      <c r="E201" t="s">
        <v>54</v>
      </c>
      <c r="F201" t="s">
        <v>17</v>
      </c>
      <c r="G201">
        <v>3</v>
      </c>
      <c r="H201" s="3">
        <v>438.53</v>
      </c>
      <c r="I201" s="4">
        <v>0</v>
      </c>
      <c r="J201" s="3">
        <v>267.64</v>
      </c>
      <c r="K201" s="3">
        <f t="shared" si="9"/>
        <v>1315.59</v>
      </c>
      <c r="L201" s="3">
        <f t="shared" si="10"/>
        <v>512.66999999999996</v>
      </c>
      <c r="M201" s="5">
        <f t="shared" si="11"/>
        <v>0.38968827674275419</v>
      </c>
    </row>
    <row r="202" spans="1:13">
      <c r="A202" t="s">
        <v>240</v>
      </c>
      <c r="B202" s="2">
        <v>46252</v>
      </c>
      <c r="C202" t="s">
        <v>14</v>
      </c>
      <c r="D202" t="s">
        <v>20</v>
      </c>
      <c r="E202" t="s">
        <v>35</v>
      </c>
      <c r="F202" t="s">
        <v>33</v>
      </c>
      <c r="G202">
        <v>4</v>
      </c>
      <c r="H202" s="3">
        <v>35.340000000000003</v>
      </c>
      <c r="I202" s="4">
        <v>0.1</v>
      </c>
      <c r="J202" s="3">
        <v>15.78</v>
      </c>
      <c r="K202" s="3">
        <f t="shared" si="9"/>
        <v>127.22400000000002</v>
      </c>
      <c r="L202" s="3">
        <f t="shared" si="10"/>
        <v>64.104000000000013</v>
      </c>
      <c r="M202" s="5">
        <f t="shared" si="11"/>
        <v>0.50386719486889264</v>
      </c>
    </row>
    <row r="203" spans="1:13">
      <c r="A203" t="s">
        <v>241</v>
      </c>
      <c r="B203" s="2">
        <v>46180</v>
      </c>
      <c r="C203" t="s">
        <v>27</v>
      </c>
      <c r="D203" t="s">
        <v>39</v>
      </c>
      <c r="E203" t="s">
        <v>40</v>
      </c>
      <c r="F203" t="s">
        <v>33</v>
      </c>
      <c r="G203">
        <v>3</v>
      </c>
      <c r="H203" s="3">
        <v>55.89</v>
      </c>
      <c r="I203" s="4">
        <v>0</v>
      </c>
      <c r="J203" s="3">
        <v>24.6</v>
      </c>
      <c r="K203" s="3">
        <f t="shared" si="9"/>
        <v>167.67000000000002</v>
      </c>
      <c r="L203" s="3">
        <f t="shared" si="10"/>
        <v>93.87</v>
      </c>
      <c r="M203" s="5">
        <f t="shared" si="11"/>
        <v>0.55984970477724094</v>
      </c>
    </row>
    <row r="204" spans="1:13">
      <c r="A204" t="s">
        <v>242</v>
      </c>
      <c r="B204" s="2">
        <v>46238</v>
      </c>
      <c r="C204" t="s">
        <v>60</v>
      </c>
      <c r="D204" t="s">
        <v>20</v>
      </c>
      <c r="E204" t="s">
        <v>21</v>
      </c>
      <c r="F204" t="s">
        <v>43</v>
      </c>
      <c r="G204">
        <v>2</v>
      </c>
      <c r="H204" s="3">
        <v>1221.28</v>
      </c>
      <c r="I204" s="4">
        <v>0</v>
      </c>
      <c r="J204" s="3">
        <v>857.51</v>
      </c>
      <c r="K204" s="3">
        <f t="shared" si="9"/>
        <v>2442.56</v>
      </c>
      <c r="L204" s="3">
        <f t="shared" si="10"/>
        <v>727.54</v>
      </c>
      <c r="M204" s="5">
        <f t="shared" si="11"/>
        <v>0.29785962269094718</v>
      </c>
    </row>
    <row r="205" spans="1:13">
      <c r="A205" t="s">
        <v>243</v>
      </c>
      <c r="B205" s="2">
        <v>46076</v>
      </c>
      <c r="C205" t="s">
        <v>30</v>
      </c>
      <c r="D205" t="s">
        <v>24</v>
      </c>
      <c r="E205" t="s">
        <v>56</v>
      </c>
      <c r="F205" t="s">
        <v>33</v>
      </c>
      <c r="G205">
        <v>1</v>
      </c>
      <c r="H205" s="3">
        <v>66.069999999999993</v>
      </c>
      <c r="I205" s="4">
        <v>0.05</v>
      </c>
      <c r="J205" s="3">
        <v>28.84</v>
      </c>
      <c r="K205" s="3">
        <f t="shared" si="9"/>
        <v>62.766499999999994</v>
      </c>
      <c r="L205" s="3">
        <f t="shared" si="10"/>
        <v>33.92649999999999</v>
      </c>
      <c r="M205" s="5">
        <f t="shared" si="11"/>
        <v>0.5405192260202496</v>
      </c>
    </row>
    <row r="206" spans="1:13">
      <c r="A206" t="s">
        <v>244</v>
      </c>
      <c r="B206" s="2">
        <v>46146</v>
      </c>
      <c r="C206" t="s">
        <v>14</v>
      </c>
      <c r="D206" t="s">
        <v>24</v>
      </c>
      <c r="E206" t="s">
        <v>45</v>
      </c>
      <c r="F206" t="s">
        <v>47</v>
      </c>
      <c r="G206">
        <v>8</v>
      </c>
      <c r="H206" s="3">
        <v>120.67</v>
      </c>
      <c r="I206" s="4">
        <v>0</v>
      </c>
      <c r="J206" s="3">
        <v>72.14</v>
      </c>
      <c r="K206" s="3">
        <f t="shared" si="9"/>
        <v>965.36</v>
      </c>
      <c r="L206" s="3">
        <f t="shared" si="10"/>
        <v>388.24</v>
      </c>
      <c r="M206" s="5">
        <f t="shared" si="11"/>
        <v>0.40217121074003481</v>
      </c>
    </row>
    <row r="207" spans="1:13">
      <c r="A207" t="s">
        <v>245</v>
      </c>
      <c r="B207" s="2">
        <v>46141</v>
      </c>
      <c r="C207" t="s">
        <v>14</v>
      </c>
      <c r="D207" t="s">
        <v>39</v>
      </c>
      <c r="E207" t="s">
        <v>54</v>
      </c>
      <c r="F207" t="s">
        <v>22</v>
      </c>
      <c r="G207">
        <v>6</v>
      </c>
      <c r="H207" s="3">
        <v>435.74</v>
      </c>
      <c r="I207" s="4">
        <v>0.1</v>
      </c>
      <c r="J207" s="3">
        <v>277.77</v>
      </c>
      <c r="K207" s="3">
        <f t="shared" si="9"/>
        <v>2352.9960000000001</v>
      </c>
      <c r="L207" s="3">
        <f t="shared" si="10"/>
        <v>686.3760000000002</v>
      </c>
      <c r="M207" s="5">
        <f t="shared" si="11"/>
        <v>0.29170300332002269</v>
      </c>
    </row>
    <row r="208" spans="1:13">
      <c r="A208" t="s">
        <v>246</v>
      </c>
      <c r="B208" s="2">
        <v>46217</v>
      </c>
      <c r="C208" t="s">
        <v>27</v>
      </c>
      <c r="D208" t="s">
        <v>20</v>
      </c>
      <c r="E208" t="s">
        <v>35</v>
      </c>
      <c r="F208" t="s">
        <v>28</v>
      </c>
      <c r="G208">
        <v>4</v>
      </c>
      <c r="H208" s="3">
        <v>34.44</v>
      </c>
      <c r="I208" s="4">
        <v>0.05</v>
      </c>
      <c r="J208" s="3">
        <v>15.88</v>
      </c>
      <c r="K208" s="3">
        <f t="shared" si="9"/>
        <v>130.87199999999999</v>
      </c>
      <c r="L208" s="3">
        <f t="shared" si="10"/>
        <v>67.351999999999975</v>
      </c>
      <c r="M208" s="5">
        <f t="shared" si="11"/>
        <v>0.51464025918454659</v>
      </c>
    </row>
    <row r="209" spans="1:13">
      <c r="A209" t="s">
        <v>247</v>
      </c>
      <c r="B209" s="2">
        <v>46035</v>
      </c>
      <c r="C209" t="s">
        <v>14</v>
      </c>
      <c r="D209" t="s">
        <v>24</v>
      </c>
      <c r="E209" t="s">
        <v>56</v>
      </c>
      <c r="F209" t="s">
        <v>33</v>
      </c>
      <c r="G209">
        <v>7</v>
      </c>
      <c r="H209" s="3">
        <v>67.459999999999994</v>
      </c>
      <c r="I209" s="4">
        <v>0</v>
      </c>
      <c r="J209" s="3">
        <v>28.65</v>
      </c>
      <c r="K209" s="3">
        <f t="shared" si="9"/>
        <v>472.21999999999997</v>
      </c>
      <c r="L209" s="3">
        <f t="shared" si="10"/>
        <v>271.66999999999996</v>
      </c>
      <c r="M209" s="5">
        <f t="shared" si="11"/>
        <v>0.57530388378298247</v>
      </c>
    </row>
    <row r="210" spans="1:13">
      <c r="A210" t="s">
        <v>248</v>
      </c>
      <c r="B210" s="2">
        <v>46262</v>
      </c>
      <c r="C210" t="s">
        <v>19</v>
      </c>
      <c r="D210" t="s">
        <v>15</v>
      </c>
      <c r="E210" t="s">
        <v>16</v>
      </c>
      <c r="F210" t="s">
        <v>33</v>
      </c>
      <c r="G210">
        <v>3</v>
      </c>
      <c r="H210" s="3">
        <v>70.44</v>
      </c>
      <c r="I210" s="4">
        <v>0.05</v>
      </c>
      <c r="J210" s="3">
        <v>32.159999999999997</v>
      </c>
      <c r="K210" s="3">
        <f t="shared" si="9"/>
        <v>200.75399999999999</v>
      </c>
      <c r="L210" s="3">
        <f t="shared" si="10"/>
        <v>104.274</v>
      </c>
      <c r="M210" s="5">
        <f t="shared" si="11"/>
        <v>0.51941181744822029</v>
      </c>
    </row>
    <row r="211" spans="1:13">
      <c r="A211" t="s">
        <v>249</v>
      </c>
      <c r="B211" s="2">
        <v>46150</v>
      </c>
      <c r="C211" t="s">
        <v>14</v>
      </c>
      <c r="D211" t="s">
        <v>24</v>
      </c>
      <c r="E211" t="s">
        <v>56</v>
      </c>
      <c r="F211" t="s">
        <v>28</v>
      </c>
      <c r="G211">
        <v>8</v>
      </c>
      <c r="H211" s="3">
        <v>63.66</v>
      </c>
      <c r="I211" s="4">
        <v>0.2</v>
      </c>
      <c r="J211" s="3">
        <v>28.93</v>
      </c>
      <c r="K211" s="3">
        <f t="shared" si="9"/>
        <v>407.42399999999998</v>
      </c>
      <c r="L211" s="3">
        <f t="shared" si="10"/>
        <v>175.98399999999998</v>
      </c>
      <c r="M211" s="5">
        <f t="shared" si="11"/>
        <v>0.43194313540684887</v>
      </c>
    </row>
    <row r="212" spans="1:13">
      <c r="A212" t="s">
        <v>250</v>
      </c>
      <c r="B212" s="2">
        <v>46095</v>
      </c>
      <c r="C212" t="s">
        <v>27</v>
      </c>
      <c r="D212" t="s">
        <v>24</v>
      </c>
      <c r="E212" t="s">
        <v>45</v>
      </c>
      <c r="F212" t="s">
        <v>43</v>
      </c>
      <c r="G212">
        <v>1</v>
      </c>
      <c r="H212" s="3">
        <v>124.85</v>
      </c>
      <c r="I212" s="4">
        <v>0.15</v>
      </c>
      <c r="J212" s="3">
        <v>73.739999999999995</v>
      </c>
      <c r="K212" s="3">
        <f t="shared" si="9"/>
        <v>106.12249999999999</v>
      </c>
      <c r="L212" s="3">
        <f t="shared" si="10"/>
        <v>32.382499999999993</v>
      </c>
      <c r="M212" s="5">
        <f t="shared" si="11"/>
        <v>0.30514264175834527</v>
      </c>
    </row>
    <row r="213" spans="1:13">
      <c r="A213" t="s">
        <v>251</v>
      </c>
      <c r="B213" s="2">
        <v>46116</v>
      </c>
      <c r="C213" t="s">
        <v>30</v>
      </c>
      <c r="D213" t="s">
        <v>15</v>
      </c>
      <c r="E213" t="s">
        <v>16</v>
      </c>
      <c r="F213" t="s">
        <v>33</v>
      </c>
      <c r="G213">
        <v>7</v>
      </c>
      <c r="H213" s="3">
        <v>70.739999999999995</v>
      </c>
      <c r="I213" s="4">
        <v>0</v>
      </c>
      <c r="J213" s="3">
        <v>31.94</v>
      </c>
      <c r="K213" s="3">
        <f t="shared" si="9"/>
        <v>495.17999999999995</v>
      </c>
      <c r="L213" s="3">
        <f t="shared" si="10"/>
        <v>271.59999999999991</v>
      </c>
      <c r="M213" s="5">
        <f t="shared" si="11"/>
        <v>0.54848741871642626</v>
      </c>
    </row>
    <row r="214" spans="1:13">
      <c r="A214" t="s">
        <v>252</v>
      </c>
      <c r="B214" s="2">
        <v>46041</v>
      </c>
      <c r="C214" t="s">
        <v>27</v>
      </c>
      <c r="D214" t="s">
        <v>24</v>
      </c>
      <c r="E214" t="s">
        <v>56</v>
      </c>
      <c r="F214" t="s">
        <v>22</v>
      </c>
      <c r="G214">
        <v>5</v>
      </c>
      <c r="H214" s="3">
        <v>66.05</v>
      </c>
      <c r="I214" s="4">
        <v>0.15</v>
      </c>
      <c r="J214" s="3">
        <v>29.31</v>
      </c>
      <c r="K214" s="3">
        <f t="shared" si="9"/>
        <v>280.71249999999998</v>
      </c>
      <c r="L214" s="3">
        <f t="shared" si="10"/>
        <v>134.16249999999999</v>
      </c>
      <c r="M214" s="5">
        <f t="shared" si="11"/>
        <v>0.4779356102774191</v>
      </c>
    </row>
    <row r="215" spans="1:13">
      <c r="A215" t="s">
        <v>253</v>
      </c>
      <c r="B215" s="2">
        <v>46047</v>
      </c>
      <c r="C215" t="s">
        <v>27</v>
      </c>
      <c r="D215" t="s">
        <v>15</v>
      </c>
      <c r="E215" t="s">
        <v>32</v>
      </c>
      <c r="F215" t="s">
        <v>17</v>
      </c>
      <c r="G215">
        <v>6</v>
      </c>
      <c r="H215" s="3">
        <v>92.9</v>
      </c>
      <c r="I215" s="4">
        <v>0.1</v>
      </c>
      <c r="J215" s="3">
        <v>48.26</v>
      </c>
      <c r="K215" s="3">
        <f t="shared" si="9"/>
        <v>501.66000000000008</v>
      </c>
      <c r="L215" s="3">
        <f t="shared" si="10"/>
        <v>212.10000000000008</v>
      </c>
      <c r="M215" s="5">
        <f t="shared" si="11"/>
        <v>0.4227963162301161</v>
      </c>
    </row>
    <row r="216" spans="1:13">
      <c r="A216" t="s">
        <v>254</v>
      </c>
      <c r="B216" s="2">
        <v>46033</v>
      </c>
      <c r="C216" t="s">
        <v>14</v>
      </c>
      <c r="D216" t="s">
        <v>39</v>
      </c>
      <c r="E216" t="s">
        <v>40</v>
      </c>
      <c r="F216" t="s">
        <v>17</v>
      </c>
      <c r="G216">
        <v>6</v>
      </c>
      <c r="H216" s="3">
        <v>55.37</v>
      </c>
      <c r="I216" s="4">
        <v>0.15</v>
      </c>
      <c r="J216" s="3">
        <v>23.7</v>
      </c>
      <c r="K216" s="3">
        <f t="shared" si="9"/>
        <v>282.38699999999994</v>
      </c>
      <c r="L216" s="3">
        <f t="shared" si="10"/>
        <v>140.18699999999995</v>
      </c>
      <c r="M216" s="5">
        <f t="shared" si="11"/>
        <v>0.49643574243856831</v>
      </c>
    </row>
    <row r="217" spans="1:13">
      <c r="A217" t="s">
        <v>255</v>
      </c>
      <c r="B217" s="2">
        <v>46058</v>
      </c>
      <c r="C217" t="s">
        <v>14</v>
      </c>
      <c r="D217" t="s">
        <v>15</v>
      </c>
      <c r="E217" t="s">
        <v>16</v>
      </c>
      <c r="F217" t="s">
        <v>33</v>
      </c>
      <c r="G217">
        <v>7</v>
      </c>
      <c r="H217" s="3">
        <v>71.86</v>
      </c>
      <c r="I217" s="4">
        <v>0.2</v>
      </c>
      <c r="J217" s="3">
        <v>31.84</v>
      </c>
      <c r="K217" s="3">
        <f t="shared" si="9"/>
        <v>402.416</v>
      </c>
      <c r="L217" s="3">
        <f t="shared" si="10"/>
        <v>179.536</v>
      </c>
      <c r="M217" s="5">
        <f t="shared" si="11"/>
        <v>0.4461452824937378</v>
      </c>
    </row>
    <row r="218" spans="1:13">
      <c r="A218" t="s">
        <v>256</v>
      </c>
      <c r="B218" s="2">
        <v>46152</v>
      </c>
      <c r="C218" t="s">
        <v>30</v>
      </c>
      <c r="D218" t="s">
        <v>24</v>
      </c>
      <c r="E218" t="s">
        <v>56</v>
      </c>
      <c r="F218" t="s">
        <v>28</v>
      </c>
      <c r="G218">
        <v>5</v>
      </c>
      <c r="H218" s="3">
        <v>62.5</v>
      </c>
      <c r="I218" s="4">
        <v>0.05</v>
      </c>
      <c r="J218" s="3">
        <v>28.9</v>
      </c>
      <c r="K218" s="3">
        <f t="shared" si="9"/>
        <v>296.875</v>
      </c>
      <c r="L218" s="3">
        <f t="shared" si="10"/>
        <v>152.375</v>
      </c>
      <c r="M218" s="5">
        <f t="shared" si="11"/>
        <v>0.51326315789473687</v>
      </c>
    </row>
    <row r="219" spans="1:13">
      <c r="A219" t="s">
        <v>257</v>
      </c>
      <c r="B219" s="2">
        <v>46129</v>
      </c>
      <c r="C219" t="s">
        <v>19</v>
      </c>
      <c r="D219" t="s">
        <v>20</v>
      </c>
      <c r="E219" t="s">
        <v>37</v>
      </c>
      <c r="F219" t="s">
        <v>17</v>
      </c>
      <c r="G219">
        <v>8</v>
      </c>
      <c r="H219" s="3">
        <v>295.51</v>
      </c>
      <c r="I219" s="4">
        <v>0</v>
      </c>
      <c r="J219" s="3">
        <v>185.15</v>
      </c>
      <c r="K219" s="3">
        <f t="shared" si="9"/>
        <v>2364.08</v>
      </c>
      <c r="L219" s="3">
        <f t="shared" si="10"/>
        <v>882.87999999999988</v>
      </c>
      <c r="M219" s="5">
        <f t="shared" si="11"/>
        <v>0.37345605901661533</v>
      </c>
    </row>
    <row r="220" spans="1:13">
      <c r="A220" t="s">
        <v>258</v>
      </c>
      <c r="B220" s="2">
        <v>46170</v>
      </c>
      <c r="C220" t="s">
        <v>14</v>
      </c>
      <c r="D220" t="s">
        <v>20</v>
      </c>
      <c r="E220" t="s">
        <v>37</v>
      </c>
      <c r="F220" t="s">
        <v>47</v>
      </c>
      <c r="G220">
        <v>8</v>
      </c>
      <c r="H220" s="3">
        <v>294.82</v>
      </c>
      <c r="I220" s="4">
        <v>0</v>
      </c>
      <c r="J220" s="3">
        <v>181.98</v>
      </c>
      <c r="K220" s="3">
        <f t="shared" si="9"/>
        <v>2358.56</v>
      </c>
      <c r="L220" s="3">
        <f t="shared" si="10"/>
        <v>902.72</v>
      </c>
      <c r="M220" s="5">
        <f t="shared" si="11"/>
        <v>0.38274201207516451</v>
      </c>
    </row>
    <row r="221" spans="1:13">
      <c r="A221" t="s">
        <v>259</v>
      </c>
      <c r="B221" s="2">
        <v>46060</v>
      </c>
      <c r="C221" t="s">
        <v>30</v>
      </c>
      <c r="D221" t="s">
        <v>39</v>
      </c>
      <c r="E221" t="s">
        <v>65</v>
      </c>
      <c r="F221" t="s">
        <v>47</v>
      </c>
      <c r="G221">
        <v>2</v>
      </c>
      <c r="H221" s="3">
        <v>219.93</v>
      </c>
      <c r="I221" s="4">
        <v>0</v>
      </c>
      <c r="J221" s="3">
        <v>130.12</v>
      </c>
      <c r="K221" s="3">
        <f t="shared" si="9"/>
        <v>439.86</v>
      </c>
      <c r="L221" s="3">
        <f t="shared" si="10"/>
        <v>179.62</v>
      </c>
      <c r="M221" s="5">
        <f t="shared" si="11"/>
        <v>0.40835720456508889</v>
      </c>
    </row>
    <row r="222" spans="1:13">
      <c r="A222" t="s">
        <v>260</v>
      </c>
      <c r="B222" s="2">
        <v>46199</v>
      </c>
      <c r="C222" t="s">
        <v>14</v>
      </c>
      <c r="D222" t="s">
        <v>24</v>
      </c>
      <c r="E222" t="s">
        <v>56</v>
      </c>
      <c r="F222" t="s">
        <v>43</v>
      </c>
      <c r="G222">
        <v>1</v>
      </c>
      <c r="H222" s="3">
        <v>65.430000000000007</v>
      </c>
      <c r="I222" s="4">
        <v>0.1</v>
      </c>
      <c r="J222" s="3">
        <v>29.23</v>
      </c>
      <c r="K222" s="3">
        <f t="shared" si="9"/>
        <v>58.887000000000008</v>
      </c>
      <c r="L222" s="3">
        <f t="shared" si="10"/>
        <v>29.657000000000007</v>
      </c>
      <c r="M222" s="5">
        <f t="shared" si="11"/>
        <v>0.50362558799055823</v>
      </c>
    </row>
    <row r="223" spans="1:13">
      <c r="A223" t="s">
        <v>261</v>
      </c>
      <c r="B223" s="2">
        <v>46145</v>
      </c>
      <c r="C223" t="s">
        <v>27</v>
      </c>
      <c r="D223" t="s">
        <v>15</v>
      </c>
      <c r="E223" t="s">
        <v>16</v>
      </c>
      <c r="F223" t="s">
        <v>43</v>
      </c>
      <c r="G223">
        <v>8</v>
      </c>
      <c r="H223" s="3">
        <v>69.36</v>
      </c>
      <c r="I223" s="4">
        <v>0.15</v>
      </c>
      <c r="J223" s="3">
        <v>31.93</v>
      </c>
      <c r="K223" s="3">
        <f t="shared" si="9"/>
        <v>471.64799999999997</v>
      </c>
      <c r="L223" s="3">
        <f t="shared" si="10"/>
        <v>216.20799999999997</v>
      </c>
      <c r="M223" s="5">
        <f t="shared" si="11"/>
        <v>0.45840966144243162</v>
      </c>
    </row>
    <row r="224" spans="1:13">
      <c r="A224" t="s">
        <v>262</v>
      </c>
      <c r="B224" s="2">
        <v>46197</v>
      </c>
      <c r="C224" t="s">
        <v>19</v>
      </c>
      <c r="D224" t="s">
        <v>15</v>
      </c>
      <c r="E224" t="s">
        <v>32</v>
      </c>
      <c r="F224" t="s">
        <v>22</v>
      </c>
      <c r="G224">
        <v>8</v>
      </c>
      <c r="H224" s="3">
        <v>93.31</v>
      </c>
      <c r="I224" s="4">
        <v>0</v>
      </c>
      <c r="J224" s="3">
        <v>48.38</v>
      </c>
      <c r="K224" s="3">
        <f t="shared" si="9"/>
        <v>746.48</v>
      </c>
      <c r="L224" s="3">
        <f t="shared" si="10"/>
        <v>359.44</v>
      </c>
      <c r="M224" s="5">
        <f t="shared" si="11"/>
        <v>0.48151323545172003</v>
      </c>
    </row>
    <row r="225" spans="1:13">
      <c r="A225" t="s">
        <v>263</v>
      </c>
      <c r="B225" s="2">
        <v>46264</v>
      </c>
      <c r="C225" t="s">
        <v>60</v>
      </c>
      <c r="D225" t="s">
        <v>15</v>
      </c>
      <c r="E225" t="s">
        <v>82</v>
      </c>
      <c r="F225" t="s">
        <v>17</v>
      </c>
      <c r="G225">
        <v>4</v>
      </c>
      <c r="H225" s="3">
        <v>85.34</v>
      </c>
      <c r="I225" s="4">
        <v>0.1</v>
      </c>
      <c r="J225" s="3">
        <v>42.17</v>
      </c>
      <c r="K225" s="3">
        <f t="shared" si="9"/>
        <v>307.22400000000005</v>
      </c>
      <c r="L225" s="3">
        <f t="shared" si="10"/>
        <v>138.54400000000004</v>
      </c>
      <c r="M225" s="5">
        <f t="shared" si="11"/>
        <v>0.45095435252454241</v>
      </c>
    </row>
    <row r="226" spans="1:13">
      <c r="A226" t="s">
        <v>264</v>
      </c>
      <c r="B226" s="2">
        <v>46262</v>
      </c>
      <c r="C226" t="s">
        <v>60</v>
      </c>
      <c r="D226" t="s">
        <v>15</v>
      </c>
      <c r="E226" t="s">
        <v>82</v>
      </c>
      <c r="F226" t="s">
        <v>47</v>
      </c>
      <c r="G226">
        <v>2</v>
      </c>
      <c r="H226" s="3">
        <v>85.76</v>
      </c>
      <c r="I226" s="4">
        <v>0.05</v>
      </c>
      <c r="J226" s="3">
        <v>43.04</v>
      </c>
      <c r="K226" s="3">
        <f t="shared" si="9"/>
        <v>162.94399999999999</v>
      </c>
      <c r="L226" s="3">
        <f t="shared" si="10"/>
        <v>76.86399999999999</v>
      </c>
      <c r="M226" s="5">
        <f t="shared" si="11"/>
        <v>0.47172034564021992</v>
      </c>
    </row>
    <row r="227" spans="1:13">
      <c r="A227" t="s">
        <v>265</v>
      </c>
      <c r="B227" s="2">
        <v>46232</v>
      </c>
      <c r="C227" t="s">
        <v>14</v>
      </c>
      <c r="D227" t="s">
        <v>39</v>
      </c>
      <c r="E227" t="s">
        <v>54</v>
      </c>
      <c r="F227" t="s">
        <v>47</v>
      </c>
      <c r="G227">
        <v>1</v>
      </c>
      <c r="H227" s="3">
        <v>430.19</v>
      </c>
      <c r="I227" s="4">
        <v>0</v>
      </c>
      <c r="J227" s="3">
        <v>269.27999999999997</v>
      </c>
      <c r="K227" s="3">
        <f t="shared" si="9"/>
        <v>430.19</v>
      </c>
      <c r="L227" s="3">
        <f t="shared" si="10"/>
        <v>160.91000000000003</v>
      </c>
      <c r="M227" s="5">
        <f t="shared" si="11"/>
        <v>0.3740440270578117</v>
      </c>
    </row>
    <row r="228" spans="1:13">
      <c r="A228" t="s">
        <v>266</v>
      </c>
      <c r="B228" s="2">
        <v>46190</v>
      </c>
      <c r="C228" t="s">
        <v>14</v>
      </c>
      <c r="D228" t="s">
        <v>24</v>
      </c>
      <c r="E228" t="s">
        <v>25</v>
      </c>
      <c r="F228" t="s">
        <v>33</v>
      </c>
      <c r="G228">
        <v>4</v>
      </c>
      <c r="H228" s="3">
        <v>177.19</v>
      </c>
      <c r="I228" s="4">
        <v>0.15</v>
      </c>
      <c r="J228" s="3">
        <v>110.89</v>
      </c>
      <c r="K228" s="3">
        <f t="shared" si="9"/>
        <v>602.44600000000003</v>
      </c>
      <c r="L228" s="3">
        <f t="shared" si="10"/>
        <v>158.88600000000002</v>
      </c>
      <c r="M228" s="5">
        <f t="shared" si="11"/>
        <v>0.26373484096499938</v>
      </c>
    </row>
    <row r="229" spans="1:13">
      <c r="A229" t="s">
        <v>267</v>
      </c>
      <c r="B229" s="2">
        <v>46058</v>
      </c>
      <c r="C229" t="s">
        <v>14</v>
      </c>
      <c r="D229" t="s">
        <v>39</v>
      </c>
      <c r="E229" t="s">
        <v>65</v>
      </c>
      <c r="F229" t="s">
        <v>28</v>
      </c>
      <c r="G229">
        <v>1</v>
      </c>
      <c r="H229" s="3">
        <v>221.71</v>
      </c>
      <c r="I229" s="4">
        <v>0.1</v>
      </c>
      <c r="J229" s="3">
        <v>131.55000000000001</v>
      </c>
      <c r="K229" s="3">
        <f t="shared" si="9"/>
        <v>199.53900000000002</v>
      </c>
      <c r="L229" s="3">
        <f t="shared" si="10"/>
        <v>67.989000000000004</v>
      </c>
      <c r="M229" s="5">
        <f t="shared" si="11"/>
        <v>0.34073038353404594</v>
      </c>
    </row>
    <row r="230" spans="1:13">
      <c r="A230" t="s">
        <v>268</v>
      </c>
      <c r="B230" s="2">
        <v>46048</v>
      </c>
      <c r="C230" t="s">
        <v>27</v>
      </c>
      <c r="D230" t="s">
        <v>24</v>
      </c>
      <c r="E230" t="s">
        <v>25</v>
      </c>
      <c r="F230" t="s">
        <v>47</v>
      </c>
      <c r="G230">
        <v>3</v>
      </c>
      <c r="H230" s="3">
        <v>181.72</v>
      </c>
      <c r="I230" s="4">
        <v>0</v>
      </c>
      <c r="J230" s="3">
        <v>112.91</v>
      </c>
      <c r="K230" s="3">
        <f t="shared" si="9"/>
        <v>545.16</v>
      </c>
      <c r="L230" s="3">
        <f t="shared" si="10"/>
        <v>206.42999999999995</v>
      </c>
      <c r="M230" s="5">
        <f t="shared" si="11"/>
        <v>0.37865947611710316</v>
      </c>
    </row>
    <row r="231" spans="1:13">
      <c r="A231" t="s">
        <v>269</v>
      </c>
      <c r="B231" s="2">
        <v>46190</v>
      </c>
      <c r="C231" t="s">
        <v>60</v>
      </c>
      <c r="D231" t="s">
        <v>24</v>
      </c>
      <c r="E231" t="s">
        <v>45</v>
      </c>
      <c r="F231" t="s">
        <v>28</v>
      </c>
      <c r="G231">
        <v>4</v>
      </c>
      <c r="H231" s="3">
        <v>123.23</v>
      </c>
      <c r="I231" s="4">
        <v>0.1</v>
      </c>
      <c r="J231" s="3">
        <v>71.59</v>
      </c>
      <c r="K231" s="3">
        <f t="shared" si="9"/>
        <v>443.62800000000004</v>
      </c>
      <c r="L231" s="3">
        <f t="shared" si="10"/>
        <v>157.26800000000003</v>
      </c>
      <c r="M231" s="5">
        <f t="shared" si="11"/>
        <v>0.35450422425996558</v>
      </c>
    </row>
    <row r="232" spans="1:13">
      <c r="A232" t="s">
        <v>270</v>
      </c>
      <c r="B232" s="2">
        <v>46255</v>
      </c>
      <c r="C232" t="s">
        <v>30</v>
      </c>
      <c r="D232" t="s">
        <v>39</v>
      </c>
      <c r="E232" t="s">
        <v>40</v>
      </c>
      <c r="F232" t="s">
        <v>22</v>
      </c>
      <c r="G232">
        <v>1</v>
      </c>
      <c r="H232" s="3">
        <v>53.67</v>
      </c>
      <c r="I232" s="4">
        <v>0.15</v>
      </c>
      <c r="J232" s="3">
        <v>24.58</v>
      </c>
      <c r="K232" s="3">
        <f t="shared" si="9"/>
        <v>45.619500000000002</v>
      </c>
      <c r="L232" s="3">
        <f t="shared" si="10"/>
        <v>21.039500000000004</v>
      </c>
      <c r="M232" s="5">
        <f t="shared" si="11"/>
        <v>0.46119532217582399</v>
      </c>
    </row>
    <row r="233" spans="1:13">
      <c r="A233" t="s">
        <v>271</v>
      </c>
      <c r="B233" s="2">
        <v>46262</v>
      </c>
      <c r="C233" t="s">
        <v>60</v>
      </c>
      <c r="D233" t="s">
        <v>24</v>
      </c>
      <c r="E233" t="s">
        <v>45</v>
      </c>
      <c r="F233" t="s">
        <v>28</v>
      </c>
      <c r="G233">
        <v>3</v>
      </c>
      <c r="H233" s="3">
        <v>130.82</v>
      </c>
      <c r="I233" s="4">
        <v>0.2</v>
      </c>
      <c r="J233" s="3">
        <v>73.89</v>
      </c>
      <c r="K233" s="3">
        <f t="shared" si="9"/>
        <v>313.96800000000002</v>
      </c>
      <c r="L233" s="3">
        <f t="shared" si="10"/>
        <v>92.298000000000002</v>
      </c>
      <c r="M233" s="5">
        <f t="shared" si="11"/>
        <v>0.2939726341537991</v>
      </c>
    </row>
    <row r="234" spans="1:13">
      <c r="A234" t="s">
        <v>272</v>
      </c>
      <c r="B234" s="2">
        <v>46025</v>
      </c>
      <c r="C234" t="s">
        <v>14</v>
      </c>
      <c r="D234" t="s">
        <v>20</v>
      </c>
      <c r="E234" t="s">
        <v>35</v>
      </c>
      <c r="F234" t="s">
        <v>22</v>
      </c>
      <c r="G234">
        <v>5</v>
      </c>
      <c r="H234" s="3">
        <v>35.619999999999997</v>
      </c>
      <c r="I234" s="4">
        <v>0.05</v>
      </c>
      <c r="J234" s="3">
        <v>16.100000000000001</v>
      </c>
      <c r="K234" s="3">
        <f t="shared" si="9"/>
        <v>169.19499999999999</v>
      </c>
      <c r="L234" s="3">
        <f t="shared" si="10"/>
        <v>88.694999999999993</v>
      </c>
      <c r="M234" s="5">
        <f t="shared" si="11"/>
        <v>0.52421761872395756</v>
      </c>
    </row>
    <row r="235" spans="1:13">
      <c r="A235" t="s">
        <v>273</v>
      </c>
      <c r="B235" s="2">
        <v>46240</v>
      </c>
      <c r="C235" t="s">
        <v>27</v>
      </c>
      <c r="D235" t="s">
        <v>15</v>
      </c>
      <c r="E235" t="s">
        <v>16</v>
      </c>
      <c r="F235" t="s">
        <v>43</v>
      </c>
      <c r="G235">
        <v>2</v>
      </c>
      <c r="H235" s="3">
        <v>71.81</v>
      </c>
      <c r="I235" s="4">
        <v>0</v>
      </c>
      <c r="J235" s="3">
        <v>32.4</v>
      </c>
      <c r="K235" s="3">
        <f t="shared" si="9"/>
        <v>143.62</v>
      </c>
      <c r="L235" s="3">
        <f t="shared" si="10"/>
        <v>78.820000000000007</v>
      </c>
      <c r="M235" s="5">
        <f t="shared" si="11"/>
        <v>0.5488093580281298</v>
      </c>
    </row>
    <row r="236" spans="1:13">
      <c r="A236" t="s">
        <v>274</v>
      </c>
      <c r="B236" s="2">
        <v>46070</v>
      </c>
      <c r="C236" t="s">
        <v>14</v>
      </c>
      <c r="D236" t="s">
        <v>15</v>
      </c>
      <c r="E236" t="s">
        <v>82</v>
      </c>
      <c r="F236" t="s">
        <v>47</v>
      </c>
      <c r="G236">
        <v>4</v>
      </c>
      <c r="H236" s="3">
        <v>88.15</v>
      </c>
      <c r="I236" s="4">
        <v>0</v>
      </c>
      <c r="J236" s="3">
        <v>43.04</v>
      </c>
      <c r="K236" s="3">
        <f t="shared" si="9"/>
        <v>352.6</v>
      </c>
      <c r="L236" s="3">
        <f t="shared" si="10"/>
        <v>180.44000000000003</v>
      </c>
      <c r="M236" s="5">
        <f t="shared" si="11"/>
        <v>0.51174134997163934</v>
      </c>
    </row>
    <row r="237" spans="1:13">
      <c r="A237" t="s">
        <v>275</v>
      </c>
      <c r="B237" s="2">
        <v>46154</v>
      </c>
      <c r="C237" t="s">
        <v>14</v>
      </c>
      <c r="D237" t="s">
        <v>24</v>
      </c>
      <c r="E237" t="s">
        <v>56</v>
      </c>
      <c r="F237" t="s">
        <v>22</v>
      </c>
      <c r="G237">
        <v>2</v>
      </c>
      <c r="H237" s="3">
        <v>63.22</v>
      </c>
      <c r="I237" s="4">
        <v>0</v>
      </c>
      <c r="J237" s="3">
        <v>28.89</v>
      </c>
      <c r="K237" s="3">
        <f t="shared" si="9"/>
        <v>126.44</v>
      </c>
      <c r="L237" s="3">
        <f t="shared" si="10"/>
        <v>68.66</v>
      </c>
      <c r="M237" s="5">
        <f t="shared" si="11"/>
        <v>0.54302435937994309</v>
      </c>
    </row>
    <row r="238" spans="1:13">
      <c r="A238" t="s">
        <v>276</v>
      </c>
      <c r="B238" s="2">
        <v>46024</v>
      </c>
      <c r="C238" t="s">
        <v>14</v>
      </c>
      <c r="D238" t="s">
        <v>39</v>
      </c>
      <c r="E238" t="s">
        <v>54</v>
      </c>
      <c r="F238" t="s">
        <v>28</v>
      </c>
      <c r="G238">
        <v>5</v>
      </c>
      <c r="H238" s="3">
        <v>414.61</v>
      </c>
      <c r="I238" s="4">
        <v>0.2</v>
      </c>
      <c r="J238" s="3">
        <v>274.36</v>
      </c>
      <c r="K238" s="3">
        <f t="shared" si="9"/>
        <v>1658.4400000000003</v>
      </c>
      <c r="L238" s="3">
        <f t="shared" si="10"/>
        <v>286.6400000000001</v>
      </c>
      <c r="M238" s="5">
        <f t="shared" si="11"/>
        <v>0.17283712404428261</v>
      </c>
    </row>
    <row r="239" spans="1:13">
      <c r="A239" t="s">
        <v>277</v>
      </c>
      <c r="B239" s="2">
        <v>46089</v>
      </c>
      <c r="C239" t="s">
        <v>19</v>
      </c>
      <c r="D239" t="s">
        <v>39</v>
      </c>
      <c r="E239" t="s">
        <v>65</v>
      </c>
      <c r="F239" t="s">
        <v>43</v>
      </c>
      <c r="G239">
        <v>2</v>
      </c>
      <c r="H239" s="3">
        <v>214.36</v>
      </c>
      <c r="I239" s="4">
        <v>0.05</v>
      </c>
      <c r="J239" s="3">
        <v>131.86000000000001</v>
      </c>
      <c r="K239" s="3">
        <f t="shared" si="9"/>
        <v>407.28399999999999</v>
      </c>
      <c r="L239" s="3">
        <f t="shared" si="10"/>
        <v>143.56399999999996</v>
      </c>
      <c r="M239" s="5">
        <f t="shared" si="11"/>
        <v>0.35249113640604585</v>
      </c>
    </row>
    <row r="240" spans="1:13">
      <c r="A240" t="s">
        <v>278</v>
      </c>
      <c r="B240" s="2">
        <v>46220</v>
      </c>
      <c r="C240" t="s">
        <v>14</v>
      </c>
      <c r="D240" t="s">
        <v>20</v>
      </c>
      <c r="E240" t="s">
        <v>37</v>
      </c>
      <c r="F240" t="s">
        <v>47</v>
      </c>
      <c r="G240">
        <v>5</v>
      </c>
      <c r="H240" s="3">
        <v>284.16000000000003</v>
      </c>
      <c r="I240" s="4">
        <v>0.05</v>
      </c>
      <c r="J240" s="3">
        <v>185.02</v>
      </c>
      <c r="K240" s="3">
        <f t="shared" si="9"/>
        <v>1349.7600000000002</v>
      </c>
      <c r="L240" s="3">
        <f t="shared" si="10"/>
        <v>424.6600000000002</v>
      </c>
      <c r="M240" s="5">
        <f t="shared" si="11"/>
        <v>0.31461889521100056</v>
      </c>
    </row>
    <row r="241" spans="1:13">
      <c r="A241" t="s">
        <v>279</v>
      </c>
      <c r="B241" s="2">
        <v>46062</v>
      </c>
      <c r="C241" t="s">
        <v>27</v>
      </c>
      <c r="D241" t="s">
        <v>15</v>
      </c>
      <c r="E241" t="s">
        <v>82</v>
      </c>
      <c r="F241" t="s">
        <v>22</v>
      </c>
      <c r="G241">
        <v>8</v>
      </c>
      <c r="H241" s="3">
        <v>87.74</v>
      </c>
      <c r="I241" s="4">
        <v>0.1</v>
      </c>
      <c r="J241" s="3">
        <v>42.89</v>
      </c>
      <c r="K241" s="3">
        <f t="shared" si="9"/>
        <v>631.72799999999995</v>
      </c>
      <c r="L241" s="3">
        <f t="shared" si="10"/>
        <v>288.60799999999995</v>
      </c>
      <c r="M241" s="5">
        <f t="shared" si="11"/>
        <v>0.45685484892232098</v>
      </c>
    </row>
    <row r="242" spans="1:13">
      <c r="A242" t="s">
        <v>280</v>
      </c>
      <c r="B242" s="2">
        <v>46197</v>
      </c>
      <c r="C242" t="s">
        <v>30</v>
      </c>
      <c r="D242" t="s">
        <v>20</v>
      </c>
      <c r="E242" t="s">
        <v>37</v>
      </c>
      <c r="F242" t="s">
        <v>28</v>
      </c>
      <c r="G242">
        <v>8</v>
      </c>
      <c r="H242" s="3">
        <v>287.83999999999997</v>
      </c>
      <c r="I242" s="4">
        <v>0.05</v>
      </c>
      <c r="J242" s="3">
        <v>184.66</v>
      </c>
      <c r="K242" s="3">
        <f t="shared" si="9"/>
        <v>2187.5839999999998</v>
      </c>
      <c r="L242" s="3">
        <f t="shared" si="10"/>
        <v>710.30399999999986</v>
      </c>
      <c r="M242" s="5">
        <f t="shared" si="11"/>
        <v>0.32469793159942656</v>
      </c>
    </row>
    <row r="243" spans="1:13">
      <c r="A243" t="s">
        <v>281</v>
      </c>
      <c r="B243" s="2">
        <v>46038</v>
      </c>
      <c r="C243" t="s">
        <v>30</v>
      </c>
      <c r="D243" t="s">
        <v>39</v>
      </c>
      <c r="E243" t="s">
        <v>40</v>
      </c>
      <c r="F243" t="s">
        <v>43</v>
      </c>
      <c r="G243">
        <v>3</v>
      </c>
      <c r="H243" s="3">
        <v>57.03</v>
      </c>
      <c r="I243" s="4">
        <v>0</v>
      </c>
      <c r="J243" s="3">
        <v>24.05</v>
      </c>
      <c r="K243" s="3">
        <f t="shared" si="9"/>
        <v>171.09</v>
      </c>
      <c r="L243" s="3">
        <f t="shared" si="10"/>
        <v>98.94</v>
      </c>
      <c r="M243" s="5">
        <f t="shared" si="11"/>
        <v>0.57829212695072763</v>
      </c>
    </row>
    <row r="244" spans="1:13">
      <c r="A244" t="s">
        <v>282</v>
      </c>
      <c r="B244" s="2">
        <v>46075</v>
      </c>
      <c r="C244" t="s">
        <v>19</v>
      </c>
      <c r="D244" t="s">
        <v>24</v>
      </c>
      <c r="E244" t="s">
        <v>25</v>
      </c>
      <c r="F244" t="s">
        <v>47</v>
      </c>
      <c r="G244">
        <v>8</v>
      </c>
      <c r="H244" s="3">
        <v>180.15</v>
      </c>
      <c r="I244" s="4">
        <v>0.15</v>
      </c>
      <c r="J244" s="3">
        <v>110.62</v>
      </c>
      <c r="K244" s="3">
        <f t="shared" si="9"/>
        <v>1225.02</v>
      </c>
      <c r="L244" s="3">
        <f t="shared" si="10"/>
        <v>340.05999999999995</v>
      </c>
      <c r="M244" s="5">
        <f t="shared" si="11"/>
        <v>0.27759546782909661</v>
      </c>
    </row>
    <row r="245" spans="1:13">
      <c r="A245" t="s">
        <v>283</v>
      </c>
      <c r="B245" s="2">
        <v>46167</v>
      </c>
      <c r="C245" t="s">
        <v>14</v>
      </c>
      <c r="D245" t="s">
        <v>24</v>
      </c>
      <c r="E245" t="s">
        <v>56</v>
      </c>
      <c r="F245" t="s">
        <v>43</v>
      </c>
      <c r="G245">
        <v>5</v>
      </c>
      <c r="H245" s="3">
        <v>64.72</v>
      </c>
      <c r="I245" s="4">
        <v>0.1</v>
      </c>
      <c r="J245" s="3">
        <v>29.6</v>
      </c>
      <c r="K245" s="3">
        <f t="shared" si="9"/>
        <v>291.24</v>
      </c>
      <c r="L245" s="3">
        <f t="shared" si="10"/>
        <v>143.24</v>
      </c>
      <c r="M245" s="5">
        <f t="shared" si="11"/>
        <v>0.49182804559813215</v>
      </c>
    </row>
    <row r="246" spans="1:13">
      <c r="A246" t="s">
        <v>284</v>
      </c>
      <c r="B246" s="2">
        <v>46078</v>
      </c>
      <c r="C246" t="s">
        <v>19</v>
      </c>
      <c r="D246" t="s">
        <v>20</v>
      </c>
      <c r="E246" t="s">
        <v>35</v>
      </c>
      <c r="F246" t="s">
        <v>28</v>
      </c>
      <c r="G246">
        <v>6</v>
      </c>
      <c r="H246" s="3">
        <v>35.299999999999997</v>
      </c>
      <c r="I246" s="4">
        <v>0.1</v>
      </c>
      <c r="J246" s="3">
        <v>15.73</v>
      </c>
      <c r="K246" s="3">
        <f t="shared" si="9"/>
        <v>190.61999999999998</v>
      </c>
      <c r="L246" s="3">
        <f t="shared" si="10"/>
        <v>96.239999999999981</v>
      </c>
      <c r="M246" s="5">
        <f t="shared" si="11"/>
        <v>0.50487881649354738</v>
      </c>
    </row>
    <row r="247" spans="1:13">
      <c r="A247" t="s">
        <v>285</v>
      </c>
      <c r="B247" s="2">
        <v>46262</v>
      </c>
      <c r="C247" t="s">
        <v>27</v>
      </c>
      <c r="D247" t="s">
        <v>15</v>
      </c>
      <c r="E247" t="s">
        <v>82</v>
      </c>
      <c r="F247" t="s">
        <v>43</v>
      </c>
      <c r="G247">
        <v>3</v>
      </c>
      <c r="H247" s="3">
        <v>87.46</v>
      </c>
      <c r="I247" s="4">
        <v>0.1</v>
      </c>
      <c r="J247" s="3">
        <v>43.21</v>
      </c>
      <c r="K247" s="3">
        <f t="shared" si="9"/>
        <v>236.142</v>
      </c>
      <c r="L247" s="3">
        <f t="shared" si="10"/>
        <v>106.512</v>
      </c>
      <c r="M247" s="5">
        <f t="shared" si="11"/>
        <v>0.45105063902228321</v>
      </c>
    </row>
    <row r="248" spans="1:13">
      <c r="A248" t="s">
        <v>286</v>
      </c>
      <c r="B248" s="2">
        <v>46130</v>
      </c>
      <c r="C248" t="s">
        <v>27</v>
      </c>
      <c r="D248" t="s">
        <v>24</v>
      </c>
      <c r="E248" t="s">
        <v>45</v>
      </c>
      <c r="F248" t="s">
        <v>17</v>
      </c>
      <c r="G248">
        <v>7</v>
      </c>
      <c r="H248" s="3">
        <v>127.68</v>
      </c>
      <c r="I248" s="4">
        <v>0.05</v>
      </c>
      <c r="J248" s="3">
        <v>72.94</v>
      </c>
      <c r="K248" s="3">
        <f t="shared" si="9"/>
        <v>849.072</v>
      </c>
      <c r="L248" s="3">
        <f t="shared" si="10"/>
        <v>338.49200000000002</v>
      </c>
      <c r="M248" s="5">
        <f t="shared" si="11"/>
        <v>0.3986611265004617</v>
      </c>
    </row>
    <row r="249" spans="1:13">
      <c r="A249" t="s">
        <v>287</v>
      </c>
      <c r="B249" s="2">
        <v>46057</v>
      </c>
      <c r="C249" t="s">
        <v>19</v>
      </c>
      <c r="D249" t="s">
        <v>15</v>
      </c>
      <c r="E249" t="s">
        <v>16</v>
      </c>
      <c r="F249" t="s">
        <v>22</v>
      </c>
      <c r="G249">
        <v>3</v>
      </c>
      <c r="H249" s="3">
        <v>69.680000000000007</v>
      </c>
      <c r="I249" s="4">
        <v>0.2</v>
      </c>
      <c r="J249" s="3">
        <v>31.56</v>
      </c>
      <c r="K249" s="3">
        <f t="shared" si="9"/>
        <v>167.23200000000003</v>
      </c>
      <c r="L249" s="3">
        <f t="shared" si="10"/>
        <v>72.552000000000035</v>
      </c>
      <c r="M249" s="5">
        <f t="shared" si="11"/>
        <v>0.43384041331802542</v>
      </c>
    </row>
    <row r="250" spans="1:13">
      <c r="A250" t="s">
        <v>288</v>
      </c>
      <c r="B250" s="2">
        <v>46236</v>
      </c>
      <c r="C250" t="s">
        <v>14</v>
      </c>
      <c r="D250" t="s">
        <v>20</v>
      </c>
      <c r="E250" t="s">
        <v>35</v>
      </c>
      <c r="F250" t="s">
        <v>22</v>
      </c>
      <c r="G250">
        <v>8</v>
      </c>
      <c r="H250" s="3">
        <v>35.32</v>
      </c>
      <c r="I250" s="4">
        <v>0.1</v>
      </c>
      <c r="J250" s="3">
        <v>16.11</v>
      </c>
      <c r="K250" s="3">
        <f t="shared" si="9"/>
        <v>254.304</v>
      </c>
      <c r="L250" s="3">
        <f t="shared" si="10"/>
        <v>125.42400000000001</v>
      </c>
      <c r="M250" s="5">
        <f t="shared" si="11"/>
        <v>0.49320498301245758</v>
      </c>
    </row>
    <row r="251" spans="1:13">
      <c r="A251" t="s">
        <v>289</v>
      </c>
      <c r="B251" s="2">
        <v>46086</v>
      </c>
      <c r="C251" t="s">
        <v>27</v>
      </c>
      <c r="D251" t="s">
        <v>39</v>
      </c>
      <c r="E251" t="s">
        <v>54</v>
      </c>
      <c r="F251" t="s">
        <v>43</v>
      </c>
      <c r="G251">
        <v>4</v>
      </c>
      <c r="H251" s="3">
        <v>430.61</v>
      </c>
      <c r="I251" s="4">
        <v>0.2</v>
      </c>
      <c r="J251" s="3">
        <v>266.12</v>
      </c>
      <c r="K251" s="3">
        <f t="shared" si="9"/>
        <v>1377.9520000000002</v>
      </c>
      <c r="L251" s="3">
        <f t="shared" si="10"/>
        <v>313.47200000000021</v>
      </c>
      <c r="M251" s="5">
        <f t="shared" si="11"/>
        <v>0.22749123336661956</v>
      </c>
    </row>
    <row r="252" spans="1:13">
      <c r="A252" t="s">
        <v>290</v>
      </c>
      <c r="B252" s="2">
        <v>46130</v>
      </c>
      <c r="C252" t="s">
        <v>19</v>
      </c>
      <c r="D252" t="s">
        <v>20</v>
      </c>
      <c r="E252" t="s">
        <v>21</v>
      </c>
      <c r="F252" t="s">
        <v>43</v>
      </c>
      <c r="G252">
        <v>4</v>
      </c>
      <c r="H252" s="3">
        <v>1216.1500000000001</v>
      </c>
      <c r="I252" s="4">
        <v>0</v>
      </c>
      <c r="J252" s="3">
        <v>851.97</v>
      </c>
      <c r="K252" s="3">
        <f t="shared" si="9"/>
        <v>4864.6000000000004</v>
      </c>
      <c r="L252" s="3">
        <f t="shared" si="10"/>
        <v>1456.7200000000003</v>
      </c>
      <c r="M252" s="5">
        <f t="shared" si="11"/>
        <v>0.29945319245158908</v>
      </c>
    </row>
    <row r="253" spans="1:13">
      <c r="A253" t="s">
        <v>291</v>
      </c>
      <c r="B253" s="2">
        <v>46203</v>
      </c>
      <c r="C253" t="s">
        <v>30</v>
      </c>
      <c r="D253" t="s">
        <v>39</v>
      </c>
      <c r="E253" t="s">
        <v>40</v>
      </c>
      <c r="F253" t="s">
        <v>28</v>
      </c>
      <c r="G253">
        <v>1</v>
      </c>
      <c r="H253" s="3">
        <v>53.96</v>
      </c>
      <c r="I253" s="4">
        <v>0.05</v>
      </c>
      <c r="J253" s="3">
        <v>23.78</v>
      </c>
      <c r="K253" s="3">
        <f t="shared" si="9"/>
        <v>51.262</v>
      </c>
      <c r="L253" s="3">
        <f t="shared" si="10"/>
        <v>27.481999999999999</v>
      </c>
      <c r="M253" s="5">
        <f t="shared" si="11"/>
        <v>0.53610861846982172</v>
      </c>
    </row>
    <row r="254" spans="1:13">
      <c r="A254" t="s">
        <v>292</v>
      </c>
      <c r="B254" s="2">
        <v>46058</v>
      </c>
      <c r="C254" t="s">
        <v>27</v>
      </c>
      <c r="D254" t="s">
        <v>15</v>
      </c>
      <c r="E254" t="s">
        <v>16</v>
      </c>
      <c r="F254" t="s">
        <v>22</v>
      </c>
      <c r="G254">
        <v>6</v>
      </c>
      <c r="H254" s="3">
        <v>72.069999999999993</v>
      </c>
      <c r="I254" s="4">
        <v>0.05</v>
      </c>
      <c r="J254" s="3">
        <v>32.67</v>
      </c>
      <c r="K254" s="3">
        <f t="shared" si="9"/>
        <v>410.79899999999992</v>
      </c>
      <c r="L254" s="3">
        <f t="shared" si="10"/>
        <v>214.77899999999991</v>
      </c>
      <c r="M254" s="5">
        <f t="shared" si="11"/>
        <v>0.52283233406118312</v>
      </c>
    </row>
    <row r="255" spans="1:13">
      <c r="A255" t="s">
        <v>293</v>
      </c>
      <c r="B255" s="2">
        <v>46100</v>
      </c>
      <c r="C255" t="s">
        <v>30</v>
      </c>
      <c r="D255" t="s">
        <v>39</v>
      </c>
      <c r="E255" t="s">
        <v>54</v>
      </c>
      <c r="F255" t="s">
        <v>43</v>
      </c>
      <c r="G255">
        <v>5</v>
      </c>
      <c r="H255" s="3">
        <v>424.24</v>
      </c>
      <c r="I255" s="4">
        <v>0</v>
      </c>
      <c r="J255" s="3">
        <v>272.58999999999997</v>
      </c>
      <c r="K255" s="3">
        <f t="shared" si="9"/>
        <v>2121.1999999999998</v>
      </c>
      <c r="L255" s="3">
        <f t="shared" si="10"/>
        <v>758.25</v>
      </c>
      <c r="M255" s="5">
        <f t="shared" si="11"/>
        <v>0.35746275693003965</v>
      </c>
    </row>
    <row r="256" spans="1:13">
      <c r="A256" t="s">
        <v>294</v>
      </c>
      <c r="B256" s="2">
        <v>46256</v>
      </c>
      <c r="C256" t="s">
        <v>14</v>
      </c>
      <c r="D256" t="s">
        <v>24</v>
      </c>
      <c r="E256" t="s">
        <v>56</v>
      </c>
      <c r="F256" t="s">
        <v>47</v>
      </c>
      <c r="G256">
        <v>8</v>
      </c>
      <c r="H256" s="3">
        <v>64.41</v>
      </c>
      <c r="I256" s="4">
        <v>0</v>
      </c>
      <c r="J256" s="3">
        <v>29.35</v>
      </c>
      <c r="K256" s="3">
        <f t="shared" si="9"/>
        <v>515.28</v>
      </c>
      <c r="L256" s="3">
        <f t="shared" si="10"/>
        <v>280.47999999999996</v>
      </c>
      <c r="M256" s="5">
        <f t="shared" si="11"/>
        <v>0.5443254153081819</v>
      </c>
    </row>
    <row r="257" spans="1:13">
      <c r="A257" t="s">
        <v>295</v>
      </c>
      <c r="B257" s="2">
        <v>46224</v>
      </c>
      <c r="C257" t="s">
        <v>27</v>
      </c>
      <c r="D257" t="s">
        <v>24</v>
      </c>
      <c r="E257" t="s">
        <v>45</v>
      </c>
      <c r="F257" t="s">
        <v>22</v>
      </c>
      <c r="G257">
        <v>3</v>
      </c>
      <c r="H257" s="3">
        <v>122.07</v>
      </c>
      <c r="I257" s="4">
        <v>0</v>
      </c>
      <c r="J257" s="3">
        <v>72.5</v>
      </c>
      <c r="K257" s="3">
        <f t="shared" si="9"/>
        <v>366.21</v>
      </c>
      <c r="L257" s="3">
        <f t="shared" si="10"/>
        <v>148.70999999999998</v>
      </c>
      <c r="M257" s="5">
        <f t="shared" si="11"/>
        <v>0.40607847956090765</v>
      </c>
    </row>
    <row r="258" spans="1:13">
      <c r="A258" t="s">
        <v>296</v>
      </c>
      <c r="B258" s="2">
        <v>46240</v>
      </c>
      <c r="C258" t="s">
        <v>14</v>
      </c>
      <c r="D258" t="s">
        <v>39</v>
      </c>
      <c r="E258" t="s">
        <v>54</v>
      </c>
      <c r="F258" t="s">
        <v>22</v>
      </c>
      <c r="G258">
        <v>1</v>
      </c>
      <c r="H258" s="3">
        <v>439.78</v>
      </c>
      <c r="I258" s="4">
        <v>0.05</v>
      </c>
      <c r="J258" s="3">
        <v>272.12</v>
      </c>
      <c r="K258" s="3">
        <f t="shared" ref="K258:K321" si="12">G258*H258*(1-I258)</f>
        <v>417.79099999999994</v>
      </c>
      <c r="L258" s="3">
        <f t="shared" ref="L258:L321" si="13">K258-(G258*J258)</f>
        <v>145.67099999999994</v>
      </c>
      <c r="M258" s="5">
        <f t="shared" ref="M258:M321" si="14">IFERROR(L258/K258,0)</f>
        <v>0.34866955008604772</v>
      </c>
    </row>
    <row r="259" spans="1:13">
      <c r="A259" t="s">
        <v>297</v>
      </c>
      <c r="B259" s="2">
        <v>46122</v>
      </c>
      <c r="C259" t="s">
        <v>14</v>
      </c>
      <c r="D259" t="s">
        <v>39</v>
      </c>
      <c r="E259" t="s">
        <v>54</v>
      </c>
      <c r="F259" t="s">
        <v>43</v>
      </c>
      <c r="G259">
        <v>2</v>
      </c>
      <c r="H259" s="3">
        <v>435.22</v>
      </c>
      <c r="I259" s="4">
        <v>0.2</v>
      </c>
      <c r="J259" s="3">
        <v>265.85000000000002</v>
      </c>
      <c r="K259" s="3">
        <f t="shared" si="12"/>
        <v>696.35200000000009</v>
      </c>
      <c r="L259" s="3">
        <f t="shared" si="13"/>
        <v>164.65200000000004</v>
      </c>
      <c r="M259" s="5">
        <f t="shared" si="14"/>
        <v>0.23644938192178672</v>
      </c>
    </row>
    <row r="260" spans="1:13">
      <c r="A260" t="s">
        <v>298</v>
      </c>
      <c r="B260" s="2">
        <v>46235</v>
      </c>
      <c r="C260" t="s">
        <v>14</v>
      </c>
      <c r="D260" t="s">
        <v>15</v>
      </c>
      <c r="E260" t="s">
        <v>82</v>
      </c>
      <c r="F260" t="s">
        <v>43</v>
      </c>
      <c r="G260">
        <v>1</v>
      </c>
      <c r="H260" s="3">
        <v>83.04</v>
      </c>
      <c r="I260" s="4">
        <v>0.15</v>
      </c>
      <c r="J260" s="3">
        <v>42.76</v>
      </c>
      <c r="K260" s="3">
        <f t="shared" si="12"/>
        <v>70.584000000000003</v>
      </c>
      <c r="L260" s="3">
        <f t="shared" si="13"/>
        <v>27.824000000000005</v>
      </c>
      <c r="M260" s="5">
        <f t="shared" si="14"/>
        <v>0.39419698515244256</v>
      </c>
    </row>
    <row r="261" spans="1:13">
      <c r="A261" t="s">
        <v>299</v>
      </c>
      <c r="B261" s="2">
        <v>46194</v>
      </c>
      <c r="C261" t="s">
        <v>27</v>
      </c>
      <c r="D261" t="s">
        <v>24</v>
      </c>
      <c r="E261" t="s">
        <v>25</v>
      </c>
      <c r="F261" t="s">
        <v>22</v>
      </c>
      <c r="G261">
        <v>6</v>
      </c>
      <c r="H261" s="3">
        <v>187.53</v>
      </c>
      <c r="I261" s="4">
        <v>0</v>
      </c>
      <c r="J261" s="3">
        <v>108.96</v>
      </c>
      <c r="K261" s="3">
        <f t="shared" si="12"/>
        <v>1125.18</v>
      </c>
      <c r="L261" s="3">
        <f t="shared" si="13"/>
        <v>471.42000000000007</v>
      </c>
      <c r="M261" s="5">
        <f t="shared" si="14"/>
        <v>0.41897296432570791</v>
      </c>
    </row>
    <row r="262" spans="1:13">
      <c r="A262" t="s">
        <v>300</v>
      </c>
      <c r="B262" s="2">
        <v>46212</v>
      </c>
      <c r="C262" t="s">
        <v>14</v>
      </c>
      <c r="D262" t="s">
        <v>24</v>
      </c>
      <c r="E262" t="s">
        <v>25</v>
      </c>
      <c r="F262" t="s">
        <v>33</v>
      </c>
      <c r="G262">
        <v>4</v>
      </c>
      <c r="H262" s="3">
        <v>176.68</v>
      </c>
      <c r="I262" s="4">
        <v>0.05</v>
      </c>
      <c r="J262" s="3">
        <v>109.57</v>
      </c>
      <c r="K262" s="3">
        <f t="shared" si="12"/>
        <v>671.38400000000001</v>
      </c>
      <c r="L262" s="3">
        <f t="shared" si="13"/>
        <v>233.10400000000004</v>
      </c>
      <c r="M262" s="5">
        <f t="shared" si="14"/>
        <v>0.34719921833108924</v>
      </c>
    </row>
    <row r="263" spans="1:13">
      <c r="A263" t="s">
        <v>301</v>
      </c>
      <c r="B263" s="2">
        <v>46120</v>
      </c>
      <c r="C263" t="s">
        <v>27</v>
      </c>
      <c r="D263" t="s">
        <v>15</v>
      </c>
      <c r="E263" t="s">
        <v>82</v>
      </c>
      <c r="F263" t="s">
        <v>43</v>
      </c>
      <c r="G263">
        <v>5</v>
      </c>
      <c r="H263" s="3">
        <v>88.35</v>
      </c>
      <c r="I263" s="4">
        <v>0.05</v>
      </c>
      <c r="J263" s="3">
        <v>42.14</v>
      </c>
      <c r="K263" s="3">
        <f t="shared" si="12"/>
        <v>419.66249999999997</v>
      </c>
      <c r="L263" s="3">
        <f t="shared" si="13"/>
        <v>208.96249999999998</v>
      </c>
      <c r="M263" s="5">
        <f t="shared" si="14"/>
        <v>0.49792988413308314</v>
      </c>
    </row>
    <row r="264" spans="1:13">
      <c r="A264" t="s">
        <v>302</v>
      </c>
      <c r="B264" s="2">
        <v>46143</v>
      </c>
      <c r="C264" t="s">
        <v>30</v>
      </c>
      <c r="D264" t="s">
        <v>15</v>
      </c>
      <c r="E264" t="s">
        <v>16</v>
      </c>
      <c r="F264" t="s">
        <v>43</v>
      </c>
      <c r="G264">
        <v>6</v>
      </c>
      <c r="H264" s="3">
        <v>67.489999999999995</v>
      </c>
      <c r="I264" s="4">
        <v>0</v>
      </c>
      <c r="J264" s="3">
        <v>32.74</v>
      </c>
      <c r="K264" s="3">
        <f t="shared" si="12"/>
        <v>404.93999999999994</v>
      </c>
      <c r="L264" s="3">
        <f t="shared" si="13"/>
        <v>208.49999999999994</v>
      </c>
      <c r="M264" s="5">
        <f t="shared" si="14"/>
        <v>0.51489109497703356</v>
      </c>
    </row>
    <row r="265" spans="1:13">
      <c r="A265" t="s">
        <v>303</v>
      </c>
      <c r="B265" s="2">
        <v>46060</v>
      </c>
      <c r="C265" t="s">
        <v>14</v>
      </c>
      <c r="D265" t="s">
        <v>24</v>
      </c>
      <c r="E265" t="s">
        <v>45</v>
      </c>
      <c r="F265" t="s">
        <v>22</v>
      </c>
      <c r="G265">
        <v>3</v>
      </c>
      <c r="H265" s="3">
        <v>122.59</v>
      </c>
      <c r="I265" s="4">
        <v>0</v>
      </c>
      <c r="J265" s="3">
        <v>72.61</v>
      </c>
      <c r="K265" s="3">
        <f t="shared" si="12"/>
        <v>367.77</v>
      </c>
      <c r="L265" s="3">
        <f t="shared" si="13"/>
        <v>149.94</v>
      </c>
      <c r="M265" s="5">
        <f t="shared" si="14"/>
        <v>0.4077004649645159</v>
      </c>
    </row>
    <row r="266" spans="1:13">
      <c r="A266" t="s">
        <v>304</v>
      </c>
      <c r="B266" s="2">
        <v>46150</v>
      </c>
      <c r="C266" t="s">
        <v>27</v>
      </c>
      <c r="D266" t="s">
        <v>15</v>
      </c>
      <c r="E266" t="s">
        <v>82</v>
      </c>
      <c r="F266" t="s">
        <v>22</v>
      </c>
      <c r="G266">
        <v>8</v>
      </c>
      <c r="H266" s="3">
        <v>86.51</v>
      </c>
      <c r="I266" s="4">
        <v>0.2</v>
      </c>
      <c r="J266" s="3">
        <v>42.19</v>
      </c>
      <c r="K266" s="3">
        <f t="shared" si="12"/>
        <v>553.6640000000001</v>
      </c>
      <c r="L266" s="3">
        <f t="shared" si="13"/>
        <v>216.14400000000012</v>
      </c>
      <c r="M266" s="5">
        <f t="shared" si="14"/>
        <v>0.39038839440527123</v>
      </c>
    </row>
    <row r="267" spans="1:13">
      <c r="A267" t="s">
        <v>305</v>
      </c>
      <c r="B267" s="2">
        <v>46210</v>
      </c>
      <c r="C267" t="s">
        <v>30</v>
      </c>
      <c r="D267" t="s">
        <v>39</v>
      </c>
      <c r="E267" t="s">
        <v>65</v>
      </c>
      <c r="F267" t="s">
        <v>28</v>
      </c>
      <c r="G267">
        <v>8</v>
      </c>
      <c r="H267" s="3">
        <v>228.81</v>
      </c>
      <c r="I267" s="4">
        <v>0</v>
      </c>
      <c r="J267" s="3">
        <v>133.84</v>
      </c>
      <c r="K267" s="3">
        <f t="shared" si="12"/>
        <v>1830.48</v>
      </c>
      <c r="L267" s="3">
        <f t="shared" si="13"/>
        <v>759.76</v>
      </c>
      <c r="M267" s="5">
        <f t="shared" si="14"/>
        <v>0.41506053057121628</v>
      </c>
    </row>
    <row r="268" spans="1:13">
      <c r="A268" t="s">
        <v>306</v>
      </c>
      <c r="B268" s="2">
        <v>46157</v>
      </c>
      <c r="C268" t="s">
        <v>14</v>
      </c>
      <c r="D268" t="s">
        <v>20</v>
      </c>
      <c r="E268" t="s">
        <v>37</v>
      </c>
      <c r="F268" t="s">
        <v>22</v>
      </c>
      <c r="G268">
        <v>1</v>
      </c>
      <c r="H268" s="3">
        <v>289.16000000000003</v>
      </c>
      <c r="I268" s="4">
        <v>0.1</v>
      </c>
      <c r="J268" s="3">
        <v>183.98</v>
      </c>
      <c r="K268" s="3">
        <f t="shared" si="12"/>
        <v>260.24400000000003</v>
      </c>
      <c r="L268" s="3">
        <f t="shared" si="13"/>
        <v>76.264000000000038</v>
      </c>
      <c r="M268" s="5">
        <f t="shared" si="14"/>
        <v>0.29304806258741806</v>
      </c>
    </row>
    <row r="269" spans="1:13">
      <c r="A269" t="s">
        <v>307</v>
      </c>
      <c r="B269" s="2">
        <v>46040</v>
      </c>
      <c r="C269" t="s">
        <v>19</v>
      </c>
      <c r="D269" t="s">
        <v>20</v>
      </c>
      <c r="E269" t="s">
        <v>21</v>
      </c>
      <c r="F269" t="s">
        <v>17</v>
      </c>
      <c r="G269">
        <v>8</v>
      </c>
      <c r="H269" s="3">
        <v>1218.73</v>
      </c>
      <c r="I269" s="4">
        <v>0.05</v>
      </c>
      <c r="J269" s="3">
        <v>861.34</v>
      </c>
      <c r="K269" s="3">
        <f t="shared" si="12"/>
        <v>9262.348</v>
      </c>
      <c r="L269" s="3">
        <f t="shared" si="13"/>
        <v>2371.6279999999997</v>
      </c>
      <c r="M269" s="5">
        <f t="shared" si="14"/>
        <v>0.2560504096801372</v>
      </c>
    </row>
    <row r="270" spans="1:13">
      <c r="A270" t="s">
        <v>308</v>
      </c>
      <c r="B270" s="2">
        <v>46256</v>
      </c>
      <c r="C270" t="s">
        <v>27</v>
      </c>
      <c r="D270" t="s">
        <v>24</v>
      </c>
      <c r="E270" t="s">
        <v>25</v>
      </c>
      <c r="F270" t="s">
        <v>43</v>
      </c>
      <c r="G270">
        <v>1</v>
      </c>
      <c r="H270" s="3">
        <v>179.46</v>
      </c>
      <c r="I270" s="4">
        <v>0.05</v>
      </c>
      <c r="J270" s="3">
        <v>107.89</v>
      </c>
      <c r="K270" s="3">
        <f t="shared" si="12"/>
        <v>170.48699999999999</v>
      </c>
      <c r="L270" s="3">
        <f t="shared" si="13"/>
        <v>62.596999999999994</v>
      </c>
      <c r="M270" s="5">
        <f t="shared" si="14"/>
        <v>0.3671658249602609</v>
      </c>
    </row>
    <row r="271" spans="1:13">
      <c r="A271" t="s">
        <v>309</v>
      </c>
      <c r="B271" s="2">
        <v>46093</v>
      </c>
      <c r="C271" t="s">
        <v>27</v>
      </c>
      <c r="D271" t="s">
        <v>15</v>
      </c>
      <c r="E271" t="s">
        <v>16</v>
      </c>
      <c r="F271" t="s">
        <v>28</v>
      </c>
      <c r="G271">
        <v>7</v>
      </c>
      <c r="H271" s="3">
        <v>72.930000000000007</v>
      </c>
      <c r="I271" s="4">
        <v>0.15</v>
      </c>
      <c r="J271" s="3">
        <v>31.53</v>
      </c>
      <c r="K271" s="3">
        <f t="shared" si="12"/>
        <v>433.93350000000004</v>
      </c>
      <c r="L271" s="3">
        <f t="shared" si="13"/>
        <v>213.22350000000003</v>
      </c>
      <c r="M271" s="5">
        <f t="shared" si="14"/>
        <v>0.49137367822488931</v>
      </c>
    </row>
    <row r="272" spans="1:13">
      <c r="A272" t="s">
        <v>310</v>
      </c>
      <c r="B272" s="2">
        <v>46157</v>
      </c>
      <c r="C272" t="s">
        <v>14</v>
      </c>
      <c r="D272" t="s">
        <v>39</v>
      </c>
      <c r="E272" t="s">
        <v>40</v>
      </c>
      <c r="F272" t="s">
        <v>33</v>
      </c>
      <c r="G272">
        <v>5</v>
      </c>
      <c r="H272" s="3">
        <v>54.12</v>
      </c>
      <c r="I272" s="4">
        <v>0.15</v>
      </c>
      <c r="J272" s="3">
        <v>24</v>
      </c>
      <c r="K272" s="3">
        <f t="shared" si="12"/>
        <v>230.00999999999996</v>
      </c>
      <c r="L272" s="3">
        <f t="shared" si="13"/>
        <v>110.00999999999996</v>
      </c>
      <c r="M272" s="5">
        <f t="shared" si="14"/>
        <v>0.47828355288900476</v>
      </c>
    </row>
    <row r="273" spans="1:13">
      <c r="A273" t="s">
        <v>311</v>
      </c>
      <c r="B273" s="2">
        <v>46126</v>
      </c>
      <c r="C273" t="s">
        <v>27</v>
      </c>
      <c r="D273" t="s">
        <v>39</v>
      </c>
      <c r="E273" t="s">
        <v>40</v>
      </c>
      <c r="F273" t="s">
        <v>43</v>
      </c>
      <c r="G273">
        <v>4</v>
      </c>
      <c r="H273" s="3">
        <v>56.9</v>
      </c>
      <c r="I273" s="4">
        <v>0</v>
      </c>
      <c r="J273" s="3">
        <v>23.62</v>
      </c>
      <c r="K273" s="3">
        <f t="shared" si="12"/>
        <v>227.6</v>
      </c>
      <c r="L273" s="3">
        <f t="shared" si="13"/>
        <v>133.12</v>
      </c>
      <c r="M273" s="5">
        <f t="shared" si="14"/>
        <v>0.58488576449912133</v>
      </c>
    </row>
    <row r="274" spans="1:13">
      <c r="A274" t="s">
        <v>312</v>
      </c>
      <c r="B274" s="2">
        <v>46217</v>
      </c>
      <c r="C274" t="s">
        <v>14</v>
      </c>
      <c r="D274" t="s">
        <v>24</v>
      </c>
      <c r="E274" t="s">
        <v>45</v>
      </c>
      <c r="F274" t="s">
        <v>22</v>
      </c>
      <c r="G274">
        <v>7</v>
      </c>
      <c r="H274" s="3">
        <v>120.63</v>
      </c>
      <c r="I274" s="4">
        <v>0.05</v>
      </c>
      <c r="J274" s="3">
        <v>70.59</v>
      </c>
      <c r="K274" s="3">
        <f t="shared" si="12"/>
        <v>802.18949999999995</v>
      </c>
      <c r="L274" s="3">
        <f t="shared" si="13"/>
        <v>308.05949999999996</v>
      </c>
      <c r="M274" s="5">
        <f t="shared" si="14"/>
        <v>0.38402335109098285</v>
      </c>
    </row>
    <row r="275" spans="1:13">
      <c r="A275" t="s">
        <v>313</v>
      </c>
      <c r="B275" s="2">
        <v>46044</v>
      </c>
      <c r="C275" t="s">
        <v>27</v>
      </c>
      <c r="D275" t="s">
        <v>24</v>
      </c>
      <c r="E275" t="s">
        <v>56</v>
      </c>
      <c r="F275" t="s">
        <v>17</v>
      </c>
      <c r="G275">
        <v>6</v>
      </c>
      <c r="H275" s="3">
        <v>67.42</v>
      </c>
      <c r="I275" s="4">
        <v>0.05</v>
      </c>
      <c r="J275" s="3">
        <v>28.56</v>
      </c>
      <c r="K275" s="3">
        <f t="shared" si="12"/>
        <v>384.29399999999998</v>
      </c>
      <c r="L275" s="3">
        <f t="shared" si="13"/>
        <v>212.934</v>
      </c>
      <c r="M275" s="5">
        <f t="shared" si="14"/>
        <v>0.55409139877281455</v>
      </c>
    </row>
    <row r="276" spans="1:13">
      <c r="A276" t="s">
        <v>314</v>
      </c>
      <c r="B276" s="2">
        <v>46258</v>
      </c>
      <c r="C276" t="s">
        <v>14</v>
      </c>
      <c r="D276" t="s">
        <v>39</v>
      </c>
      <c r="E276" t="s">
        <v>40</v>
      </c>
      <c r="F276" t="s">
        <v>33</v>
      </c>
      <c r="G276">
        <v>8</v>
      </c>
      <c r="H276" s="3">
        <v>57.37</v>
      </c>
      <c r="I276" s="4">
        <v>0</v>
      </c>
      <c r="J276" s="3">
        <v>24.34</v>
      </c>
      <c r="K276" s="3">
        <f t="shared" si="12"/>
        <v>458.96</v>
      </c>
      <c r="L276" s="3">
        <f t="shared" si="13"/>
        <v>264.24</v>
      </c>
      <c r="M276" s="5">
        <f t="shared" si="14"/>
        <v>0.57573644762070775</v>
      </c>
    </row>
    <row r="277" spans="1:13">
      <c r="A277" t="s">
        <v>315</v>
      </c>
      <c r="B277" s="2">
        <v>46253</v>
      </c>
      <c r="C277" t="s">
        <v>27</v>
      </c>
      <c r="D277" t="s">
        <v>20</v>
      </c>
      <c r="E277" t="s">
        <v>21</v>
      </c>
      <c r="F277" t="s">
        <v>43</v>
      </c>
      <c r="G277">
        <v>6</v>
      </c>
      <c r="H277" s="3">
        <v>1174.3699999999999</v>
      </c>
      <c r="I277" s="4">
        <v>0</v>
      </c>
      <c r="J277" s="3">
        <v>839.13</v>
      </c>
      <c r="K277" s="3">
        <f t="shared" si="12"/>
        <v>7046.2199999999993</v>
      </c>
      <c r="L277" s="3">
        <f t="shared" si="13"/>
        <v>2011.4399999999996</v>
      </c>
      <c r="M277" s="5">
        <f t="shared" si="14"/>
        <v>0.285463695428187</v>
      </c>
    </row>
    <row r="278" spans="1:13">
      <c r="A278" t="s">
        <v>316</v>
      </c>
      <c r="B278" s="2">
        <v>46233</v>
      </c>
      <c r="C278" t="s">
        <v>27</v>
      </c>
      <c r="D278" t="s">
        <v>20</v>
      </c>
      <c r="E278" t="s">
        <v>35</v>
      </c>
      <c r="F278" t="s">
        <v>43</v>
      </c>
      <c r="G278">
        <v>3</v>
      </c>
      <c r="H278" s="3">
        <v>35.39</v>
      </c>
      <c r="I278" s="4">
        <v>0.05</v>
      </c>
      <c r="J278" s="3">
        <v>16.36</v>
      </c>
      <c r="K278" s="3">
        <f t="shared" si="12"/>
        <v>100.86149999999999</v>
      </c>
      <c r="L278" s="3">
        <f t="shared" si="13"/>
        <v>51.781499999999994</v>
      </c>
      <c r="M278" s="5">
        <f t="shared" si="14"/>
        <v>0.51339212682738211</v>
      </c>
    </row>
    <row r="279" spans="1:13">
      <c r="A279" t="s">
        <v>317</v>
      </c>
      <c r="B279" s="2">
        <v>46252</v>
      </c>
      <c r="C279" t="s">
        <v>27</v>
      </c>
      <c r="D279" t="s">
        <v>24</v>
      </c>
      <c r="E279" t="s">
        <v>56</v>
      </c>
      <c r="F279" t="s">
        <v>43</v>
      </c>
      <c r="G279">
        <v>3</v>
      </c>
      <c r="H279" s="3">
        <v>66.430000000000007</v>
      </c>
      <c r="I279" s="4">
        <v>0.1</v>
      </c>
      <c r="J279" s="3">
        <v>28.53</v>
      </c>
      <c r="K279" s="3">
        <f t="shared" si="12"/>
        <v>179.36100000000002</v>
      </c>
      <c r="L279" s="3">
        <f t="shared" si="13"/>
        <v>93.771000000000015</v>
      </c>
      <c r="M279" s="5">
        <f t="shared" si="14"/>
        <v>0.52280596116212552</v>
      </c>
    </row>
    <row r="280" spans="1:13">
      <c r="A280" t="s">
        <v>318</v>
      </c>
      <c r="B280" s="2">
        <v>46111</v>
      </c>
      <c r="C280" t="s">
        <v>14</v>
      </c>
      <c r="D280" t="s">
        <v>24</v>
      </c>
      <c r="E280" t="s">
        <v>25</v>
      </c>
      <c r="F280" t="s">
        <v>47</v>
      </c>
      <c r="G280">
        <v>2</v>
      </c>
      <c r="H280" s="3">
        <v>185.26</v>
      </c>
      <c r="I280" s="4">
        <v>0</v>
      </c>
      <c r="J280" s="3">
        <v>113.05</v>
      </c>
      <c r="K280" s="3">
        <f t="shared" si="12"/>
        <v>370.52</v>
      </c>
      <c r="L280" s="3">
        <f t="shared" si="13"/>
        <v>144.41999999999999</v>
      </c>
      <c r="M280" s="5">
        <f t="shared" si="14"/>
        <v>0.38977653028176618</v>
      </c>
    </row>
    <row r="281" spans="1:13">
      <c r="A281" t="s">
        <v>319</v>
      </c>
      <c r="B281" s="2">
        <v>46221</v>
      </c>
      <c r="C281" t="s">
        <v>14</v>
      </c>
      <c r="D281" t="s">
        <v>15</v>
      </c>
      <c r="E281" t="s">
        <v>82</v>
      </c>
      <c r="F281" t="s">
        <v>22</v>
      </c>
      <c r="G281">
        <v>8</v>
      </c>
      <c r="H281" s="3">
        <v>85.83</v>
      </c>
      <c r="I281" s="4">
        <v>0</v>
      </c>
      <c r="J281" s="3">
        <v>41.95</v>
      </c>
      <c r="K281" s="3">
        <f t="shared" si="12"/>
        <v>686.64</v>
      </c>
      <c r="L281" s="3">
        <f t="shared" si="13"/>
        <v>351.03999999999996</v>
      </c>
      <c r="M281" s="5">
        <f t="shared" si="14"/>
        <v>0.51124315507398344</v>
      </c>
    </row>
    <row r="282" spans="1:13">
      <c r="A282" t="s">
        <v>320</v>
      </c>
      <c r="B282" s="2">
        <v>46197</v>
      </c>
      <c r="C282" t="s">
        <v>19</v>
      </c>
      <c r="D282" t="s">
        <v>24</v>
      </c>
      <c r="E282" t="s">
        <v>25</v>
      </c>
      <c r="F282" t="s">
        <v>22</v>
      </c>
      <c r="G282">
        <v>5</v>
      </c>
      <c r="H282" s="3">
        <v>184.35</v>
      </c>
      <c r="I282" s="4">
        <v>0.1</v>
      </c>
      <c r="J282" s="3">
        <v>108.25</v>
      </c>
      <c r="K282" s="3">
        <f t="shared" si="12"/>
        <v>829.57500000000005</v>
      </c>
      <c r="L282" s="3">
        <f t="shared" si="13"/>
        <v>288.32500000000005</v>
      </c>
      <c r="M282" s="5">
        <f t="shared" si="14"/>
        <v>0.34755748425398553</v>
      </c>
    </row>
    <row r="283" spans="1:13">
      <c r="A283" t="s">
        <v>321</v>
      </c>
      <c r="B283" s="2">
        <v>46120</v>
      </c>
      <c r="C283" t="s">
        <v>19</v>
      </c>
      <c r="D283" t="s">
        <v>39</v>
      </c>
      <c r="E283" t="s">
        <v>40</v>
      </c>
      <c r="F283" t="s">
        <v>33</v>
      </c>
      <c r="G283">
        <v>7</v>
      </c>
      <c r="H283" s="3">
        <v>53.33</v>
      </c>
      <c r="I283" s="4">
        <v>0</v>
      </c>
      <c r="J283" s="3">
        <v>23.53</v>
      </c>
      <c r="K283" s="3">
        <f t="shared" si="12"/>
        <v>373.31</v>
      </c>
      <c r="L283" s="3">
        <f t="shared" si="13"/>
        <v>208.6</v>
      </c>
      <c r="M283" s="5">
        <f t="shared" si="14"/>
        <v>0.5587849240577536</v>
      </c>
    </row>
    <row r="284" spans="1:13">
      <c r="A284" t="s">
        <v>322</v>
      </c>
      <c r="B284" s="2">
        <v>46136</v>
      </c>
      <c r="C284" t="s">
        <v>14</v>
      </c>
      <c r="D284" t="s">
        <v>15</v>
      </c>
      <c r="E284" t="s">
        <v>16</v>
      </c>
      <c r="F284" t="s">
        <v>17</v>
      </c>
      <c r="G284">
        <v>3</v>
      </c>
      <c r="H284" s="3">
        <v>69.92</v>
      </c>
      <c r="I284" s="4">
        <v>0</v>
      </c>
      <c r="J284" s="3">
        <v>32.25</v>
      </c>
      <c r="K284" s="3">
        <f t="shared" si="12"/>
        <v>209.76</v>
      </c>
      <c r="L284" s="3">
        <f t="shared" si="13"/>
        <v>113.00999999999999</v>
      </c>
      <c r="M284" s="5">
        <f t="shared" si="14"/>
        <v>0.53875858123569798</v>
      </c>
    </row>
    <row r="285" spans="1:13">
      <c r="A285" t="s">
        <v>323</v>
      </c>
      <c r="B285" s="2">
        <v>46127</v>
      </c>
      <c r="C285" t="s">
        <v>14</v>
      </c>
      <c r="D285" t="s">
        <v>20</v>
      </c>
      <c r="E285" t="s">
        <v>35</v>
      </c>
      <c r="F285" t="s">
        <v>28</v>
      </c>
      <c r="G285">
        <v>2</v>
      </c>
      <c r="H285" s="3">
        <v>36.07</v>
      </c>
      <c r="I285" s="4">
        <v>0.05</v>
      </c>
      <c r="J285" s="3">
        <v>16.37</v>
      </c>
      <c r="K285" s="3">
        <f t="shared" si="12"/>
        <v>68.533000000000001</v>
      </c>
      <c r="L285" s="3">
        <f t="shared" si="13"/>
        <v>35.792999999999999</v>
      </c>
      <c r="M285" s="5">
        <f t="shared" si="14"/>
        <v>0.52227394102111391</v>
      </c>
    </row>
    <row r="286" spans="1:13">
      <c r="A286" t="s">
        <v>324</v>
      </c>
      <c r="B286" s="2">
        <v>46097</v>
      </c>
      <c r="C286" t="s">
        <v>27</v>
      </c>
      <c r="D286" t="s">
        <v>20</v>
      </c>
      <c r="E286" t="s">
        <v>37</v>
      </c>
      <c r="F286" t="s">
        <v>22</v>
      </c>
      <c r="G286">
        <v>4</v>
      </c>
      <c r="H286" s="3">
        <v>282.83</v>
      </c>
      <c r="I286" s="4">
        <v>0.05</v>
      </c>
      <c r="J286" s="3">
        <v>179.83</v>
      </c>
      <c r="K286" s="3">
        <f t="shared" si="12"/>
        <v>1074.7539999999999</v>
      </c>
      <c r="L286" s="3">
        <f t="shared" si="13"/>
        <v>355.43399999999986</v>
      </c>
      <c r="M286" s="5">
        <f t="shared" si="14"/>
        <v>0.33071195827138106</v>
      </c>
    </row>
    <row r="287" spans="1:13">
      <c r="A287" t="s">
        <v>325</v>
      </c>
      <c r="B287" s="2">
        <v>46091</v>
      </c>
      <c r="C287" t="s">
        <v>14</v>
      </c>
      <c r="D287" t="s">
        <v>24</v>
      </c>
      <c r="E287" t="s">
        <v>25</v>
      </c>
      <c r="F287" t="s">
        <v>28</v>
      </c>
      <c r="G287">
        <v>2</v>
      </c>
      <c r="H287" s="3">
        <v>177.27</v>
      </c>
      <c r="I287" s="4">
        <v>0</v>
      </c>
      <c r="J287" s="3">
        <v>109.45</v>
      </c>
      <c r="K287" s="3">
        <f t="shared" si="12"/>
        <v>354.54</v>
      </c>
      <c r="L287" s="3">
        <f t="shared" si="13"/>
        <v>135.64000000000001</v>
      </c>
      <c r="M287" s="5">
        <f t="shared" si="14"/>
        <v>0.38258024482427938</v>
      </c>
    </row>
    <row r="288" spans="1:13">
      <c r="A288" t="s">
        <v>326</v>
      </c>
      <c r="B288" s="2">
        <v>46115</v>
      </c>
      <c r="C288" t="s">
        <v>14</v>
      </c>
      <c r="D288" t="s">
        <v>39</v>
      </c>
      <c r="E288" t="s">
        <v>40</v>
      </c>
      <c r="F288" t="s">
        <v>33</v>
      </c>
      <c r="G288">
        <v>8</v>
      </c>
      <c r="H288" s="3">
        <v>53.77</v>
      </c>
      <c r="I288" s="4">
        <v>0.05</v>
      </c>
      <c r="J288" s="3">
        <v>23.65</v>
      </c>
      <c r="K288" s="3">
        <f t="shared" si="12"/>
        <v>408.65199999999999</v>
      </c>
      <c r="L288" s="3">
        <f t="shared" si="13"/>
        <v>219.452</v>
      </c>
      <c r="M288" s="5">
        <f t="shared" si="14"/>
        <v>0.53701437898260629</v>
      </c>
    </row>
    <row r="289" spans="1:13">
      <c r="A289" t="s">
        <v>327</v>
      </c>
      <c r="B289" s="2">
        <v>46024</v>
      </c>
      <c r="C289" t="s">
        <v>60</v>
      </c>
      <c r="D289" t="s">
        <v>15</v>
      </c>
      <c r="E289" t="s">
        <v>32</v>
      </c>
      <c r="F289" t="s">
        <v>43</v>
      </c>
      <c r="G289">
        <v>7</v>
      </c>
      <c r="H289" s="3">
        <v>94.02</v>
      </c>
      <c r="I289" s="4">
        <v>0.15</v>
      </c>
      <c r="J289" s="3">
        <v>47.84</v>
      </c>
      <c r="K289" s="3">
        <f t="shared" si="12"/>
        <v>559.41899999999998</v>
      </c>
      <c r="L289" s="3">
        <f t="shared" si="13"/>
        <v>224.53899999999999</v>
      </c>
      <c r="M289" s="5">
        <f t="shared" si="14"/>
        <v>0.40137893064053953</v>
      </c>
    </row>
    <row r="290" spans="1:13">
      <c r="A290" t="s">
        <v>328</v>
      </c>
      <c r="B290" s="2">
        <v>46175</v>
      </c>
      <c r="C290" t="s">
        <v>14</v>
      </c>
      <c r="D290" t="s">
        <v>15</v>
      </c>
      <c r="E290" t="s">
        <v>32</v>
      </c>
      <c r="F290" t="s">
        <v>33</v>
      </c>
      <c r="G290">
        <v>4</v>
      </c>
      <c r="H290" s="3">
        <v>92.72</v>
      </c>
      <c r="I290" s="4">
        <v>0.05</v>
      </c>
      <c r="J290" s="3">
        <v>48</v>
      </c>
      <c r="K290" s="3">
        <f t="shared" si="12"/>
        <v>352.33599999999996</v>
      </c>
      <c r="L290" s="3">
        <f t="shared" si="13"/>
        <v>160.33599999999996</v>
      </c>
      <c r="M290" s="5">
        <f t="shared" si="14"/>
        <v>0.45506561918169014</v>
      </c>
    </row>
    <row r="291" spans="1:13">
      <c r="A291" t="s">
        <v>329</v>
      </c>
      <c r="B291" s="2">
        <v>46097</v>
      </c>
      <c r="C291" t="s">
        <v>19</v>
      </c>
      <c r="D291" t="s">
        <v>24</v>
      </c>
      <c r="E291" t="s">
        <v>56</v>
      </c>
      <c r="F291" t="s">
        <v>33</v>
      </c>
      <c r="G291">
        <v>4</v>
      </c>
      <c r="H291" s="3">
        <v>64.040000000000006</v>
      </c>
      <c r="I291" s="4">
        <v>0</v>
      </c>
      <c r="J291" s="3">
        <v>29.56</v>
      </c>
      <c r="K291" s="3">
        <f t="shared" si="12"/>
        <v>256.16000000000003</v>
      </c>
      <c r="L291" s="3">
        <f t="shared" si="13"/>
        <v>137.92000000000002</v>
      </c>
      <c r="M291" s="5">
        <f t="shared" si="14"/>
        <v>0.53841349156777019</v>
      </c>
    </row>
    <row r="292" spans="1:13">
      <c r="A292" t="s">
        <v>330</v>
      </c>
      <c r="B292" s="2">
        <v>46052</v>
      </c>
      <c r="C292" t="s">
        <v>60</v>
      </c>
      <c r="D292" t="s">
        <v>39</v>
      </c>
      <c r="E292" t="s">
        <v>40</v>
      </c>
      <c r="F292" t="s">
        <v>47</v>
      </c>
      <c r="G292">
        <v>3</v>
      </c>
      <c r="H292" s="3">
        <v>55.52</v>
      </c>
      <c r="I292" s="4">
        <v>0.1</v>
      </c>
      <c r="J292" s="3">
        <v>24.66</v>
      </c>
      <c r="K292" s="3">
        <f t="shared" si="12"/>
        <v>149.904</v>
      </c>
      <c r="L292" s="3">
        <f t="shared" si="13"/>
        <v>75.923999999999992</v>
      </c>
      <c r="M292" s="5">
        <f t="shared" si="14"/>
        <v>0.50648414985590773</v>
      </c>
    </row>
    <row r="293" spans="1:13">
      <c r="A293" t="s">
        <v>331</v>
      </c>
      <c r="B293" s="2">
        <v>46264</v>
      </c>
      <c r="C293" t="s">
        <v>19</v>
      </c>
      <c r="D293" t="s">
        <v>24</v>
      </c>
      <c r="E293" t="s">
        <v>45</v>
      </c>
      <c r="F293" t="s">
        <v>47</v>
      </c>
      <c r="G293">
        <v>2</v>
      </c>
      <c r="H293" s="3">
        <v>128.94999999999999</v>
      </c>
      <c r="I293" s="4">
        <v>0.15</v>
      </c>
      <c r="J293" s="3">
        <v>72.03</v>
      </c>
      <c r="K293" s="3">
        <f t="shared" si="12"/>
        <v>219.21499999999997</v>
      </c>
      <c r="L293" s="3">
        <f t="shared" si="13"/>
        <v>75.154999999999973</v>
      </c>
      <c r="M293" s="5">
        <f t="shared" si="14"/>
        <v>0.34283694090276662</v>
      </c>
    </row>
    <row r="294" spans="1:13">
      <c r="A294" t="s">
        <v>332</v>
      </c>
      <c r="B294" s="2">
        <v>46058</v>
      </c>
      <c r="C294" t="s">
        <v>19</v>
      </c>
      <c r="D294" t="s">
        <v>39</v>
      </c>
      <c r="E294" t="s">
        <v>54</v>
      </c>
      <c r="F294" t="s">
        <v>17</v>
      </c>
      <c r="G294">
        <v>3</v>
      </c>
      <c r="H294" s="3">
        <v>433.03</v>
      </c>
      <c r="I294" s="4">
        <v>0.1</v>
      </c>
      <c r="J294" s="3">
        <v>265.60000000000002</v>
      </c>
      <c r="K294" s="3">
        <f t="shared" si="12"/>
        <v>1169.181</v>
      </c>
      <c r="L294" s="3">
        <f t="shared" si="13"/>
        <v>372.38099999999997</v>
      </c>
      <c r="M294" s="5">
        <f t="shared" si="14"/>
        <v>0.31849730708932145</v>
      </c>
    </row>
    <row r="295" spans="1:13">
      <c r="A295" t="s">
        <v>333</v>
      </c>
      <c r="B295" s="2">
        <v>46145</v>
      </c>
      <c r="C295" t="s">
        <v>19</v>
      </c>
      <c r="D295" t="s">
        <v>24</v>
      </c>
      <c r="E295" t="s">
        <v>56</v>
      </c>
      <c r="F295" t="s">
        <v>17</v>
      </c>
      <c r="G295">
        <v>1</v>
      </c>
      <c r="H295" s="3">
        <v>64.5</v>
      </c>
      <c r="I295" s="4">
        <v>0.1</v>
      </c>
      <c r="J295" s="3">
        <v>29.72</v>
      </c>
      <c r="K295" s="3">
        <f t="shared" si="12"/>
        <v>58.050000000000004</v>
      </c>
      <c r="L295" s="3">
        <f t="shared" si="13"/>
        <v>28.330000000000005</v>
      </c>
      <c r="M295" s="5">
        <f t="shared" si="14"/>
        <v>0.48802756244616713</v>
      </c>
    </row>
    <row r="296" spans="1:13">
      <c r="A296" t="s">
        <v>334</v>
      </c>
      <c r="B296" s="2">
        <v>46175</v>
      </c>
      <c r="C296" t="s">
        <v>19</v>
      </c>
      <c r="D296" t="s">
        <v>20</v>
      </c>
      <c r="E296" t="s">
        <v>21</v>
      </c>
      <c r="F296" t="s">
        <v>28</v>
      </c>
      <c r="G296">
        <v>4</v>
      </c>
      <c r="H296" s="3">
        <v>1190.3399999999999</v>
      </c>
      <c r="I296" s="4">
        <v>0.1</v>
      </c>
      <c r="J296" s="3">
        <v>860.5</v>
      </c>
      <c r="K296" s="3">
        <f t="shared" si="12"/>
        <v>4285.2240000000002</v>
      </c>
      <c r="L296" s="3">
        <f t="shared" si="13"/>
        <v>843.22400000000016</v>
      </c>
      <c r="M296" s="5">
        <f t="shared" si="14"/>
        <v>0.19677477770123572</v>
      </c>
    </row>
    <row r="297" spans="1:13">
      <c r="A297" t="s">
        <v>335</v>
      </c>
      <c r="B297" s="2">
        <v>46167</v>
      </c>
      <c r="C297" t="s">
        <v>60</v>
      </c>
      <c r="D297" t="s">
        <v>24</v>
      </c>
      <c r="E297" t="s">
        <v>45</v>
      </c>
      <c r="F297" t="s">
        <v>43</v>
      </c>
      <c r="G297">
        <v>7</v>
      </c>
      <c r="H297" s="3">
        <v>121.11</v>
      </c>
      <c r="I297" s="4">
        <v>0</v>
      </c>
      <c r="J297" s="3">
        <v>71.36</v>
      </c>
      <c r="K297" s="3">
        <f t="shared" si="12"/>
        <v>847.77</v>
      </c>
      <c r="L297" s="3">
        <f t="shared" si="13"/>
        <v>348.25</v>
      </c>
      <c r="M297" s="5">
        <f t="shared" si="14"/>
        <v>0.41078358517050617</v>
      </c>
    </row>
    <row r="298" spans="1:13">
      <c r="A298" t="s">
        <v>336</v>
      </c>
      <c r="B298" s="2">
        <v>46155</v>
      </c>
      <c r="C298" t="s">
        <v>27</v>
      </c>
      <c r="D298" t="s">
        <v>39</v>
      </c>
      <c r="E298" t="s">
        <v>54</v>
      </c>
      <c r="F298" t="s">
        <v>17</v>
      </c>
      <c r="G298">
        <v>6</v>
      </c>
      <c r="H298" s="3">
        <v>432.39</v>
      </c>
      <c r="I298" s="4">
        <v>0.05</v>
      </c>
      <c r="J298" s="3">
        <v>272.55</v>
      </c>
      <c r="K298" s="3">
        <f t="shared" si="12"/>
        <v>2464.623</v>
      </c>
      <c r="L298" s="3">
        <f t="shared" si="13"/>
        <v>829.32299999999987</v>
      </c>
      <c r="M298" s="5">
        <f t="shared" si="14"/>
        <v>0.33649081421377625</v>
      </c>
    </row>
    <row r="299" spans="1:13">
      <c r="A299" t="s">
        <v>337</v>
      </c>
      <c r="B299" s="2">
        <v>46061</v>
      </c>
      <c r="C299" t="s">
        <v>14</v>
      </c>
      <c r="D299" t="s">
        <v>20</v>
      </c>
      <c r="E299" t="s">
        <v>35</v>
      </c>
      <c r="F299" t="s">
        <v>43</v>
      </c>
      <c r="G299">
        <v>2</v>
      </c>
      <c r="H299" s="3">
        <v>36.5</v>
      </c>
      <c r="I299" s="4">
        <v>0</v>
      </c>
      <c r="J299" s="3">
        <v>15.75</v>
      </c>
      <c r="K299" s="3">
        <f t="shared" si="12"/>
        <v>73</v>
      </c>
      <c r="L299" s="3">
        <f t="shared" si="13"/>
        <v>41.5</v>
      </c>
      <c r="M299" s="5">
        <f t="shared" si="14"/>
        <v>0.56849315068493156</v>
      </c>
    </row>
    <row r="300" spans="1:13">
      <c r="A300" t="s">
        <v>338</v>
      </c>
      <c r="B300" s="2">
        <v>46059</v>
      </c>
      <c r="C300" t="s">
        <v>14</v>
      </c>
      <c r="D300" t="s">
        <v>15</v>
      </c>
      <c r="E300" t="s">
        <v>82</v>
      </c>
      <c r="F300" t="s">
        <v>43</v>
      </c>
      <c r="G300">
        <v>4</v>
      </c>
      <c r="H300" s="3">
        <v>84.26</v>
      </c>
      <c r="I300" s="4">
        <v>0.05</v>
      </c>
      <c r="J300" s="3">
        <v>41.37</v>
      </c>
      <c r="K300" s="3">
        <f t="shared" si="12"/>
        <v>320.18799999999999</v>
      </c>
      <c r="L300" s="3">
        <f t="shared" si="13"/>
        <v>154.708</v>
      </c>
      <c r="M300" s="5">
        <f t="shared" si="14"/>
        <v>0.4831786325533749</v>
      </c>
    </row>
    <row r="301" spans="1:13">
      <c r="A301" t="s">
        <v>339</v>
      </c>
      <c r="B301" s="2">
        <v>46201</v>
      </c>
      <c r="C301" t="s">
        <v>27</v>
      </c>
      <c r="D301" t="s">
        <v>20</v>
      </c>
      <c r="E301" t="s">
        <v>35</v>
      </c>
      <c r="F301" t="s">
        <v>43</v>
      </c>
      <c r="G301">
        <v>1</v>
      </c>
      <c r="H301" s="3">
        <v>33.96</v>
      </c>
      <c r="I301" s="4">
        <v>0.15</v>
      </c>
      <c r="J301" s="3">
        <v>16.36</v>
      </c>
      <c r="K301" s="3">
        <f t="shared" si="12"/>
        <v>28.866</v>
      </c>
      <c r="L301" s="3">
        <f t="shared" si="13"/>
        <v>12.506</v>
      </c>
      <c r="M301" s="5">
        <f t="shared" si="14"/>
        <v>0.43324326196909863</v>
      </c>
    </row>
    <row r="302" spans="1:13">
      <c r="A302" t="s">
        <v>340</v>
      </c>
      <c r="B302" s="2">
        <v>46050</v>
      </c>
      <c r="C302" t="s">
        <v>19</v>
      </c>
      <c r="D302" t="s">
        <v>39</v>
      </c>
      <c r="E302" t="s">
        <v>40</v>
      </c>
      <c r="F302" t="s">
        <v>47</v>
      </c>
      <c r="G302">
        <v>4</v>
      </c>
      <c r="H302" s="3">
        <v>55.53</v>
      </c>
      <c r="I302" s="4">
        <v>0.05</v>
      </c>
      <c r="J302" s="3">
        <v>23.92</v>
      </c>
      <c r="K302" s="3">
        <f t="shared" si="12"/>
        <v>211.01399999999998</v>
      </c>
      <c r="L302" s="3">
        <f t="shared" si="13"/>
        <v>115.33399999999997</v>
      </c>
      <c r="M302" s="5">
        <f t="shared" si="14"/>
        <v>0.54657036973850071</v>
      </c>
    </row>
    <row r="303" spans="1:13">
      <c r="A303" t="s">
        <v>341</v>
      </c>
      <c r="B303" s="2">
        <v>46141</v>
      </c>
      <c r="C303" t="s">
        <v>14</v>
      </c>
      <c r="D303" t="s">
        <v>24</v>
      </c>
      <c r="E303" t="s">
        <v>56</v>
      </c>
      <c r="F303" t="s">
        <v>43</v>
      </c>
      <c r="G303">
        <v>3</v>
      </c>
      <c r="H303" s="3">
        <v>66.25</v>
      </c>
      <c r="I303" s="4">
        <v>0</v>
      </c>
      <c r="J303" s="3">
        <v>28.99</v>
      </c>
      <c r="K303" s="3">
        <f t="shared" si="12"/>
        <v>198.75</v>
      </c>
      <c r="L303" s="3">
        <f t="shared" si="13"/>
        <v>111.78</v>
      </c>
      <c r="M303" s="5">
        <f t="shared" si="14"/>
        <v>0.56241509433962267</v>
      </c>
    </row>
    <row r="304" spans="1:13">
      <c r="A304" t="s">
        <v>342</v>
      </c>
      <c r="B304" s="2">
        <v>46180</v>
      </c>
      <c r="C304" t="s">
        <v>60</v>
      </c>
      <c r="D304" t="s">
        <v>24</v>
      </c>
      <c r="E304" t="s">
        <v>56</v>
      </c>
      <c r="F304" t="s">
        <v>43</v>
      </c>
      <c r="G304">
        <v>7</v>
      </c>
      <c r="H304" s="3">
        <v>66.52</v>
      </c>
      <c r="I304" s="4">
        <v>0.05</v>
      </c>
      <c r="J304" s="3">
        <v>28.72</v>
      </c>
      <c r="K304" s="3">
        <f t="shared" si="12"/>
        <v>442.35799999999995</v>
      </c>
      <c r="L304" s="3">
        <f t="shared" si="13"/>
        <v>241.31799999999996</v>
      </c>
      <c r="M304" s="5">
        <f t="shared" si="14"/>
        <v>0.54552647403234478</v>
      </c>
    </row>
    <row r="305" spans="1:13">
      <c r="A305" t="s">
        <v>343</v>
      </c>
      <c r="B305" s="2">
        <v>46230</v>
      </c>
      <c r="C305" t="s">
        <v>30</v>
      </c>
      <c r="D305" t="s">
        <v>20</v>
      </c>
      <c r="E305" t="s">
        <v>37</v>
      </c>
      <c r="F305" t="s">
        <v>43</v>
      </c>
      <c r="G305">
        <v>3</v>
      </c>
      <c r="H305" s="3">
        <v>283.54000000000002</v>
      </c>
      <c r="I305" s="4">
        <v>0.05</v>
      </c>
      <c r="J305" s="3">
        <v>177.43</v>
      </c>
      <c r="K305" s="3">
        <f t="shared" si="12"/>
        <v>808.08900000000006</v>
      </c>
      <c r="L305" s="3">
        <f t="shared" si="13"/>
        <v>275.79900000000009</v>
      </c>
      <c r="M305" s="5">
        <f t="shared" si="14"/>
        <v>0.34129780259352632</v>
      </c>
    </row>
    <row r="306" spans="1:13">
      <c r="A306" t="s">
        <v>344</v>
      </c>
      <c r="B306" s="2">
        <v>46243</v>
      </c>
      <c r="C306" t="s">
        <v>27</v>
      </c>
      <c r="D306" t="s">
        <v>15</v>
      </c>
      <c r="E306" t="s">
        <v>32</v>
      </c>
      <c r="F306" t="s">
        <v>47</v>
      </c>
      <c r="G306">
        <v>7</v>
      </c>
      <c r="H306" s="3">
        <v>96.22</v>
      </c>
      <c r="I306" s="4">
        <v>0.1</v>
      </c>
      <c r="J306" s="3">
        <v>47.88</v>
      </c>
      <c r="K306" s="3">
        <f t="shared" si="12"/>
        <v>606.18600000000004</v>
      </c>
      <c r="L306" s="3">
        <f t="shared" si="13"/>
        <v>271.02600000000001</v>
      </c>
      <c r="M306" s="5">
        <f t="shared" si="14"/>
        <v>0.44710039492828935</v>
      </c>
    </row>
    <row r="307" spans="1:13">
      <c r="A307" t="s">
        <v>345</v>
      </c>
      <c r="B307" s="2">
        <v>46181</v>
      </c>
      <c r="C307" t="s">
        <v>14</v>
      </c>
      <c r="D307" t="s">
        <v>15</v>
      </c>
      <c r="E307" t="s">
        <v>32</v>
      </c>
      <c r="F307" t="s">
        <v>28</v>
      </c>
      <c r="G307">
        <v>2</v>
      </c>
      <c r="H307" s="3">
        <v>93.88</v>
      </c>
      <c r="I307" s="4">
        <v>0.1</v>
      </c>
      <c r="J307" s="3">
        <v>47.61</v>
      </c>
      <c r="K307" s="3">
        <f t="shared" si="12"/>
        <v>168.98400000000001</v>
      </c>
      <c r="L307" s="3">
        <f t="shared" si="13"/>
        <v>73.76400000000001</v>
      </c>
      <c r="M307" s="5">
        <f t="shared" si="14"/>
        <v>0.43651469961653178</v>
      </c>
    </row>
    <row r="308" spans="1:13">
      <c r="A308" t="s">
        <v>346</v>
      </c>
      <c r="B308" s="2">
        <v>46069</v>
      </c>
      <c r="C308" t="s">
        <v>27</v>
      </c>
      <c r="D308" t="s">
        <v>39</v>
      </c>
      <c r="E308" t="s">
        <v>40</v>
      </c>
      <c r="F308" t="s">
        <v>22</v>
      </c>
      <c r="G308">
        <v>7</v>
      </c>
      <c r="H308" s="3">
        <v>53.48</v>
      </c>
      <c r="I308" s="4">
        <v>0.05</v>
      </c>
      <c r="J308" s="3">
        <v>23.98</v>
      </c>
      <c r="K308" s="3">
        <f t="shared" si="12"/>
        <v>355.64199999999994</v>
      </c>
      <c r="L308" s="3">
        <f t="shared" si="13"/>
        <v>187.78199999999993</v>
      </c>
      <c r="M308" s="5">
        <f t="shared" si="14"/>
        <v>0.52800850293272439</v>
      </c>
    </row>
    <row r="309" spans="1:13">
      <c r="A309" t="s">
        <v>347</v>
      </c>
      <c r="B309" s="2">
        <v>46147</v>
      </c>
      <c r="C309" t="s">
        <v>19</v>
      </c>
      <c r="D309" t="s">
        <v>39</v>
      </c>
      <c r="E309" t="s">
        <v>40</v>
      </c>
      <c r="F309" t="s">
        <v>47</v>
      </c>
      <c r="G309">
        <v>3</v>
      </c>
      <c r="H309" s="3">
        <v>53.49</v>
      </c>
      <c r="I309" s="4">
        <v>0.05</v>
      </c>
      <c r="J309" s="3">
        <v>23.9</v>
      </c>
      <c r="K309" s="3">
        <f t="shared" si="12"/>
        <v>152.44649999999999</v>
      </c>
      <c r="L309" s="3">
        <f t="shared" si="13"/>
        <v>80.746499999999997</v>
      </c>
      <c r="M309" s="5">
        <f t="shared" si="14"/>
        <v>0.52967106493097582</v>
      </c>
    </row>
    <row r="310" spans="1:13">
      <c r="A310" t="s">
        <v>348</v>
      </c>
      <c r="B310" s="2">
        <v>46181</v>
      </c>
      <c r="C310" t="s">
        <v>14</v>
      </c>
      <c r="D310" t="s">
        <v>15</v>
      </c>
      <c r="E310" t="s">
        <v>16</v>
      </c>
      <c r="F310" t="s">
        <v>17</v>
      </c>
      <c r="G310">
        <v>8</v>
      </c>
      <c r="H310" s="3">
        <v>72.34</v>
      </c>
      <c r="I310" s="4">
        <v>0</v>
      </c>
      <c r="J310" s="3">
        <v>32.9</v>
      </c>
      <c r="K310" s="3">
        <f t="shared" si="12"/>
        <v>578.72</v>
      </c>
      <c r="L310" s="3">
        <f t="shared" si="13"/>
        <v>315.52000000000004</v>
      </c>
      <c r="M310" s="5">
        <f t="shared" si="14"/>
        <v>0.54520320707768877</v>
      </c>
    </row>
    <row r="311" spans="1:13">
      <c r="A311" t="s">
        <v>349</v>
      </c>
      <c r="B311" s="2">
        <v>46190</v>
      </c>
      <c r="C311" t="s">
        <v>27</v>
      </c>
      <c r="D311" t="s">
        <v>24</v>
      </c>
      <c r="E311" t="s">
        <v>45</v>
      </c>
      <c r="F311" t="s">
        <v>22</v>
      </c>
      <c r="G311">
        <v>8</v>
      </c>
      <c r="H311" s="3">
        <v>120.93</v>
      </c>
      <c r="I311" s="4">
        <v>0.05</v>
      </c>
      <c r="J311" s="3">
        <v>70.67</v>
      </c>
      <c r="K311" s="3">
        <f t="shared" si="12"/>
        <v>919.06799999999998</v>
      </c>
      <c r="L311" s="3">
        <f t="shared" si="13"/>
        <v>353.70799999999997</v>
      </c>
      <c r="M311" s="5">
        <f t="shared" si="14"/>
        <v>0.3848550923326674</v>
      </c>
    </row>
    <row r="312" spans="1:13">
      <c r="A312" t="s">
        <v>350</v>
      </c>
      <c r="B312" s="2">
        <v>46097</v>
      </c>
      <c r="C312" t="s">
        <v>14</v>
      </c>
      <c r="D312" t="s">
        <v>39</v>
      </c>
      <c r="E312" t="s">
        <v>40</v>
      </c>
      <c r="F312" t="s">
        <v>47</v>
      </c>
      <c r="G312">
        <v>5</v>
      </c>
      <c r="H312" s="3">
        <v>55.06</v>
      </c>
      <c r="I312" s="4">
        <v>0</v>
      </c>
      <c r="J312" s="3">
        <v>24.41</v>
      </c>
      <c r="K312" s="3">
        <f t="shared" si="12"/>
        <v>275.3</v>
      </c>
      <c r="L312" s="3">
        <f t="shared" si="13"/>
        <v>153.25</v>
      </c>
      <c r="M312" s="5">
        <f t="shared" si="14"/>
        <v>0.55666545586632765</v>
      </c>
    </row>
    <row r="313" spans="1:13">
      <c r="A313" t="s">
        <v>351</v>
      </c>
      <c r="B313" s="2">
        <v>46163</v>
      </c>
      <c r="C313" t="s">
        <v>27</v>
      </c>
      <c r="D313" t="s">
        <v>20</v>
      </c>
      <c r="E313" t="s">
        <v>35</v>
      </c>
      <c r="F313" t="s">
        <v>47</v>
      </c>
      <c r="G313">
        <v>6</v>
      </c>
      <c r="H313" s="3">
        <v>35.979999999999997</v>
      </c>
      <c r="I313" s="4">
        <v>0.05</v>
      </c>
      <c r="J313" s="3">
        <v>16.29</v>
      </c>
      <c r="K313" s="3">
        <f t="shared" si="12"/>
        <v>205.08599999999998</v>
      </c>
      <c r="L313" s="3">
        <f t="shared" si="13"/>
        <v>107.34599999999999</v>
      </c>
      <c r="M313" s="5">
        <f t="shared" si="14"/>
        <v>0.52341944355051051</v>
      </c>
    </row>
    <row r="314" spans="1:13">
      <c r="A314" t="s">
        <v>352</v>
      </c>
      <c r="B314" s="2">
        <v>46162</v>
      </c>
      <c r="C314" t="s">
        <v>14</v>
      </c>
      <c r="D314" t="s">
        <v>24</v>
      </c>
      <c r="E314" t="s">
        <v>25</v>
      </c>
      <c r="F314" t="s">
        <v>33</v>
      </c>
      <c r="G314">
        <v>4</v>
      </c>
      <c r="H314" s="3">
        <v>188.99</v>
      </c>
      <c r="I314" s="4">
        <v>0</v>
      </c>
      <c r="J314" s="3">
        <v>110.27</v>
      </c>
      <c r="K314" s="3">
        <f t="shared" si="12"/>
        <v>755.96</v>
      </c>
      <c r="L314" s="3">
        <f t="shared" si="13"/>
        <v>314.88000000000005</v>
      </c>
      <c r="M314" s="5">
        <f t="shared" si="14"/>
        <v>0.41652997513095935</v>
      </c>
    </row>
    <row r="315" spans="1:13">
      <c r="A315" t="s">
        <v>353</v>
      </c>
      <c r="B315" s="2">
        <v>46243</v>
      </c>
      <c r="C315" t="s">
        <v>30</v>
      </c>
      <c r="D315" t="s">
        <v>24</v>
      </c>
      <c r="E315" t="s">
        <v>25</v>
      </c>
      <c r="F315" t="s">
        <v>43</v>
      </c>
      <c r="G315">
        <v>4</v>
      </c>
      <c r="H315" s="3">
        <v>184.75</v>
      </c>
      <c r="I315" s="4">
        <v>0</v>
      </c>
      <c r="J315" s="3">
        <v>111.59</v>
      </c>
      <c r="K315" s="3">
        <f t="shared" si="12"/>
        <v>739</v>
      </c>
      <c r="L315" s="3">
        <f t="shared" si="13"/>
        <v>292.64</v>
      </c>
      <c r="M315" s="5">
        <f t="shared" si="14"/>
        <v>0.39599458728010822</v>
      </c>
    </row>
    <row r="316" spans="1:13">
      <c r="A316" t="s">
        <v>354</v>
      </c>
      <c r="B316" s="2">
        <v>46179</v>
      </c>
      <c r="C316" t="s">
        <v>19</v>
      </c>
      <c r="D316" t="s">
        <v>39</v>
      </c>
      <c r="E316" t="s">
        <v>40</v>
      </c>
      <c r="F316" t="s">
        <v>17</v>
      </c>
      <c r="G316">
        <v>3</v>
      </c>
      <c r="H316" s="3">
        <v>56.83</v>
      </c>
      <c r="I316" s="4">
        <v>0.1</v>
      </c>
      <c r="J316" s="3">
        <v>24.49</v>
      </c>
      <c r="K316" s="3">
        <f t="shared" si="12"/>
        <v>153.441</v>
      </c>
      <c r="L316" s="3">
        <f t="shared" si="13"/>
        <v>79.971000000000004</v>
      </c>
      <c r="M316" s="5">
        <f t="shared" si="14"/>
        <v>0.5211840381645062</v>
      </c>
    </row>
    <row r="317" spans="1:13">
      <c r="A317" t="s">
        <v>355</v>
      </c>
      <c r="B317" s="2">
        <v>46112</v>
      </c>
      <c r="C317" t="s">
        <v>27</v>
      </c>
      <c r="D317" t="s">
        <v>39</v>
      </c>
      <c r="E317" t="s">
        <v>54</v>
      </c>
      <c r="F317" t="s">
        <v>43</v>
      </c>
      <c r="G317">
        <v>5</v>
      </c>
      <c r="H317" s="3">
        <v>413.31</v>
      </c>
      <c r="I317" s="4">
        <v>0</v>
      </c>
      <c r="J317" s="3">
        <v>276.18</v>
      </c>
      <c r="K317" s="3">
        <f t="shared" si="12"/>
        <v>2066.5500000000002</v>
      </c>
      <c r="L317" s="3">
        <f t="shared" si="13"/>
        <v>685.65000000000009</v>
      </c>
      <c r="M317" s="5">
        <f t="shared" si="14"/>
        <v>0.3317848588226755</v>
      </c>
    </row>
    <row r="318" spans="1:13">
      <c r="A318" t="s">
        <v>356</v>
      </c>
      <c r="B318" s="2">
        <v>46231</v>
      </c>
      <c r="C318" t="s">
        <v>14</v>
      </c>
      <c r="D318" t="s">
        <v>24</v>
      </c>
      <c r="E318" t="s">
        <v>25</v>
      </c>
      <c r="F318" t="s">
        <v>22</v>
      </c>
      <c r="G318">
        <v>5</v>
      </c>
      <c r="H318" s="3">
        <v>174.86</v>
      </c>
      <c r="I318" s="4">
        <v>0.15</v>
      </c>
      <c r="J318" s="3">
        <v>112.56</v>
      </c>
      <c r="K318" s="3">
        <f t="shared" si="12"/>
        <v>743.15500000000009</v>
      </c>
      <c r="L318" s="3">
        <f t="shared" si="13"/>
        <v>180.35500000000013</v>
      </c>
      <c r="M318" s="5">
        <f t="shared" si="14"/>
        <v>0.24268826826166831</v>
      </c>
    </row>
    <row r="319" spans="1:13">
      <c r="A319" t="s">
        <v>357</v>
      </c>
      <c r="B319" s="2">
        <v>46060</v>
      </c>
      <c r="C319" t="s">
        <v>19</v>
      </c>
      <c r="D319" t="s">
        <v>39</v>
      </c>
      <c r="E319" t="s">
        <v>40</v>
      </c>
      <c r="F319" t="s">
        <v>47</v>
      </c>
      <c r="G319">
        <v>7</v>
      </c>
      <c r="H319" s="3">
        <v>55.66</v>
      </c>
      <c r="I319" s="4">
        <v>0.05</v>
      </c>
      <c r="J319" s="3">
        <v>23.84</v>
      </c>
      <c r="K319" s="3">
        <f t="shared" si="12"/>
        <v>370.13900000000001</v>
      </c>
      <c r="L319" s="3">
        <f t="shared" si="13"/>
        <v>203.25900000000001</v>
      </c>
      <c r="M319" s="5">
        <f t="shared" si="14"/>
        <v>0.54914234922556127</v>
      </c>
    </row>
    <row r="320" spans="1:13">
      <c r="A320" t="s">
        <v>358</v>
      </c>
      <c r="B320" s="2">
        <v>46119</v>
      </c>
      <c r="C320" t="s">
        <v>27</v>
      </c>
      <c r="D320" t="s">
        <v>20</v>
      </c>
      <c r="E320" t="s">
        <v>35</v>
      </c>
      <c r="F320" t="s">
        <v>47</v>
      </c>
      <c r="G320">
        <v>5</v>
      </c>
      <c r="H320" s="3">
        <v>36.36</v>
      </c>
      <c r="I320" s="4">
        <v>0.1</v>
      </c>
      <c r="J320" s="3">
        <v>16.04</v>
      </c>
      <c r="K320" s="3">
        <f t="shared" si="12"/>
        <v>163.62</v>
      </c>
      <c r="L320" s="3">
        <f t="shared" si="13"/>
        <v>83.420000000000016</v>
      </c>
      <c r="M320" s="5">
        <f t="shared" si="14"/>
        <v>0.5098398728761766</v>
      </c>
    </row>
    <row r="321" spans="1:13">
      <c r="A321" t="s">
        <v>359</v>
      </c>
      <c r="B321" s="2">
        <v>46106</v>
      </c>
      <c r="C321" t="s">
        <v>19</v>
      </c>
      <c r="D321" t="s">
        <v>20</v>
      </c>
      <c r="E321" t="s">
        <v>37</v>
      </c>
      <c r="F321" t="s">
        <v>17</v>
      </c>
      <c r="G321">
        <v>8</v>
      </c>
      <c r="H321" s="3">
        <v>296.60000000000002</v>
      </c>
      <c r="I321" s="4">
        <v>0.1</v>
      </c>
      <c r="J321" s="3">
        <v>184.05</v>
      </c>
      <c r="K321" s="3">
        <f t="shared" si="12"/>
        <v>2135.5200000000004</v>
      </c>
      <c r="L321" s="3">
        <f t="shared" si="13"/>
        <v>663.12000000000035</v>
      </c>
      <c r="M321" s="5">
        <f t="shared" si="14"/>
        <v>0.31051921780175329</v>
      </c>
    </row>
    <row r="322" spans="1:13">
      <c r="A322" t="s">
        <v>360</v>
      </c>
      <c r="B322" s="2">
        <v>46124</v>
      </c>
      <c r="C322" t="s">
        <v>14</v>
      </c>
      <c r="D322" t="s">
        <v>24</v>
      </c>
      <c r="E322" t="s">
        <v>25</v>
      </c>
      <c r="F322" t="s">
        <v>17</v>
      </c>
      <c r="G322">
        <v>8</v>
      </c>
      <c r="H322" s="3">
        <v>186.22</v>
      </c>
      <c r="I322" s="4">
        <v>0</v>
      </c>
      <c r="J322" s="3">
        <v>109.66</v>
      </c>
      <c r="K322" s="3">
        <f t="shared" ref="K322:K385" si="15">G322*H322*(1-I322)</f>
        <v>1489.76</v>
      </c>
      <c r="L322" s="3">
        <f t="shared" ref="L322:L385" si="16">K322-(G322*J322)</f>
        <v>612.48</v>
      </c>
      <c r="M322" s="5">
        <f t="shared" ref="M322:M385" si="17">IFERROR(L322/K322,0)</f>
        <v>0.41112662442272585</v>
      </c>
    </row>
    <row r="323" spans="1:13">
      <c r="A323" t="s">
        <v>361</v>
      </c>
      <c r="B323" s="2">
        <v>46056</v>
      </c>
      <c r="C323" t="s">
        <v>19</v>
      </c>
      <c r="D323" t="s">
        <v>24</v>
      </c>
      <c r="E323" t="s">
        <v>45</v>
      </c>
      <c r="F323" t="s">
        <v>28</v>
      </c>
      <c r="G323">
        <v>1</v>
      </c>
      <c r="H323" s="3">
        <v>127.04</v>
      </c>
      <c r="I323" s="4">
        <v>0</v>
      </c>
      <c r="J323" s="3">
        <v>73.569999999999993</v>
      </c>
      <c r="K323" s="3">
        <f t="shared" si="15"/>
        <v>127.04</v>
      </c>
      <c r="L323" s="3">
        <f t="shared" si="16"/>
        <v>53.470000000000013</v>
      </c>
      <c r="M323" s="5">
        <f t="shared" si="17"/>
        <v>0.42089105793450887</v>
      </c>
    </row>
    <row r="324" spans="1:13">
      <c r="A324" t="s">
        <v>362</v>
      </c>
      <c r="B324" s="2">
        <v>46054</v>
      </c>
      <c r="C324" t="s">
        <v>60</v>
      </c>
      <c r="D324" t="s">
        <v>39</v>
      </c>
      <c r="E324" t="s">
        <v>54</v>
      </c>
      <c r="F324" t="s">
        <v>43</v>
      </c>
      <c r="G324">
        <v>8</v>
      </c>
      <c r="H324" s="3">
        <v>439.41</v>
      </c>
      <c r="I324" s="4">
        <v>0</v>
      </c>
      <c r="J324" s="3">
        <v>267.33</v>
      </c>
      <c r="K324" s="3">
        <f t="shared" si="15"/>
        <v>3515.28</v>
      </c>
      <c r="L324" s="3">
        <f t="shared" si="16"/>
        <v>1376.6400000000003</v>
      </c>
      <c r="M324" s="5">
        <f t="shared" si="17"/>
        <v>0.39161603058646827</v>
      </c>
    </row>
    <row r="325" spans="1:13">
      <c r="A325" t="s">
        <v>363</v>
      </c>
      <c r="B325" s="2">
        <v>46255</v>
      </c>
      <c r="C325" t="s">
        <v>14</v>
      </c>
      <c r="D325" t="s">
        <v>15</v>
      </c>
      <c r="E325" t="s">
        <v>16</v>
      </c>
      <c r="F325" t="s">
        <v>43</v>
      </c>
      <c r="G325">
        <v>5</v>
      </c>
      <c r="H325" s="3">
        <v>69.47</v>
      </c>
      <c r="I325" s="4">
        <v>0</v>
      </c>
      <c r="J325" s="3">
        <v>31.49</v>
      </c>
      <c r="K325" s="3">
        <f t="shared" si="15"/>
        <v>347.35</v>
      </c>
      <c r="L325" s="3">
        <f t="shared" si="16"/>
        <v>189.90000000000003</v>
      </c>
      <c r="M325" s="5">
        <f t="shared" si="17"/>
        <v>0.54671081042176484</v>
      </c>
    </row>
    <row r="326" spans="1:13">
      <c r="A326" t="s">
        <v>364</v>
      </c>
      <c r="B326" s="2">
        <v>46254</v>
      </c>
      <c r="C326" t="s">
        <v>19</v>
      </c>
      <c r="D326" t="s">
        <v>20</v>
      </c>
      <c r="E326" t="s">
        <v>35</v>
      </c>
      <c r="F326" t="s">
        <v>28</v>
      </c>
      <c r="G326">
        <v>5</v>
      </c>
      <c r="H326" s="3">
        <v>35.979999999999997</v>
      </c>
      <c r="I326" s="4">
        <v>0.1</v>
      </c>
      <c r="J326" s="3">
        <v>16.02</v>
      </c>
      <c r="K326" s="3">
        <f t="shared" si="15"/>
        <v>161.91</v>
      </c>
      <c r="L326" s="3">
        <f t="shared" si="16"/>
        <v>81.81</v>
      </c>
      <c r="M326" s="5">
        <f t="shared" si="17"/>
        <v>0.50528071150639242</v>
      </c>
    </row>
    <row r="327" spans="1:13">
      <c r="A327" t="s">
        <v>365</v>
      </c>
      <c r="B327" s="2">
        <v>46203</v>
      </c>
      <c r="C327" t="s">
        <v>14</v>
      </c>
      <c r="D327" t="s">
        <v>39</v>
      </c>
      <c r="E327" t="s">
        <v>54</v>
      </c>
      <c r="F327" t="s">
        <v>28</v>
      </c>
      <c r="G327">
        <v>2</v>
      </c>
      <c r="H327" s="3">
        <v>411.75</v>
      </c>
      <c r="I327" s="4">
        <v>0</v>
      </c>
      <c r="J327" s="3">
        <v>273.77999999999997</v>
      </c>
      <c r="K327" s="3">
        <f t="shared" si="15"/>
        <v>823.5</v>
      </c>
      <c r="L327" s="3">
        <f t="shared" si="16"/>
        <v>275.94000000000005</v>
      </c>
      <c r="M327" s="5">
        <f t="shared" si="17"/>
        <v>0.33508196721311484</v>
      </c>
    </row>
    <row r="328" spans="1:13">
      <c r="A328" t="s">
        <v>366</v>
      </c>
      <c r="B328" s="2">
        <v>46025</v>
      </c>
      <c r="C328" t="s">
        <v>19</v>
      </c>
      <c r="D328" t="s">
        <v>20</v>
      </c>
      <c r="E328" t="s">
        <v>35</v>
      </c>
      <c r="F328" t="s">
        <v>28</v>
      </c>
      <c r="G328">
        <v>3</v>
      </c>
      <c r="H328" s="3">
        <v>34.32</v>
      </c>
      <c r="I328" s="4">
        <v>0.05</v>
      </c>
      <c r="J328" s="3">
        <v>15.75</v>
      </c>
      <c r="K328" s="3">
        <f t="shared" si="15"/>
        <v>97.811999999999998</v>
      </c>
      <c r="L328" s="3">
        <f t="shared" si="16"/>
        <v>50.561999999999998</v>
      </c>
      <c r="M328" s="5">
        <f t="shared" si="17"/>
        <v>0.51693043798306959</v>
      </c>
    </row>
    <row r="329" spans="1:13">
      <c r="A329" t="s">
        <v>367</v>
      </c>
      <c r="B329" s="2">
        <v>46049</v>
      </c>
      <c r="C329" t="s">
        <v>14</v>
      </c>
      <c r="D329" t="s">
        <v>15</v>
      </c>
      <c r="E329" t="s">
        <v>16</v>
      </c>
      <c r="F329" t="s">
        <v>43</v>
      </c>
      <c r="G329">
        <v>7</v>
      </c>
      <c r="H329" s="3">
        <v>71.94</v>
      </c>
      <c r="I329" s="4">
        <v>0.1</v>
      </c>
      <c r="J329" s="3">
        <v>31.57</v>
      </c>
      <c r="K329" s="3">
        <f t="shared" si="15"/>
        <v>453.22199999999998</v>
      </c>
      <c r="L329" s="3">
        <f t="shared" si="16"/>
        <v>232.23199999999997</v>
      </c>
      <c r="M329" s="5">
        <f t="shared" si="17"/>
        <v>0.51240231056744812</v>
      </c>
    </row>
    <row r="330" spans="1:13">
      <c r="A330" t="s">
        <v>368</v>
      </c>
      <c r="B330" s="2">
        <v>46059</v>
      </c>
      <c r="C330" t="s">
        <v>14</v>
      </c>
      <c r="D330" t="s">
        <v>20</v>
      </c>
      <c r="E330" t="s">
        <v>37</v>
      </c>
      <c r="F330" t="s">
        <v>22</v>
      </c>
      <c r="G330">
        <v>3</v>
      </c>
      <c r="H330" s="3">
        <v>297.26</v>
      </c>
      <c r="I330" s="4">
        <v>0.05</v>
      </c>
      <c r="J330" s="3">
        <v>182.05</v>
      </c>
      <c r="K330" s="3">
        <f t="shared" si="15"/>
        <v>847.19099999999992</v>
      </c>
      <c r="L330" s="3">
        <f t="shared" si="16"/>
        <v>301.04099999999983</v>
      </c>
      <c r="M330" s="5">
        <f t="shared" si="17"/>
        <v>0.35534017712652738</v>
      </c>
    </row>
    <row r="331" spans="1:13">
      <c r="A331" t="s">
        <v>369</v>
      </c>
      <c r="B331" s="2">
        <v>46258</v>
      </c>
      <c r="C331" t="s">
        <v>27</v>
      </c>
      <c r="D331" t="s">
        <v>24</v>
      </c>
      <c r="E331" t="s">
        <v>25</v>
      </c>
      <c r="F331" t="s">
        <v>43</v>
      </c>
      <c r="G331">
        <v>2</v>
      </c>
      <c r="H331" s="3">
        <v>175.07</v>
      </c>
      <c r="I331" s="4">
        <v>0.15</v>
      </c>
      <c r="J331" s="3">
        <v>108.48</v>
      </c>
      <c r="K331" s="3">
        <f t="shared" si="15"/>
        <v>297.61899999999997</v>
      </c>
      <c r="L331" s="3">
        <f t="shared" si="16"/>
        <v>80.658999999999963</v>
      </c>
      <c r="M331" s="5">
        <f t="shared" si="17"/>
        <v>0.27101428336228522</v>
      </c>
    </row>
    <row r="332" spans="1:13">
      <c r="A332" t="s">
        <v>370</v>
      </c>
      <c r="B332" s="2">
        <v>46121</v>
      </c>
      <c r="C332" t="s">
        <v>14</v>
      </c>
      <c r="D332" t="s">
        <v>24</v>
      </c>
      <c r="E332" t="s">
        <v>45</v>
      </c>
      <c r="F332" t="s">
        <v>17</v>
      </c>
      <c r="G332">
        <v>3</v>
      </c>
      <c r="H332" s="3">
        <v>127.25</v>
      </c>
      <c r="I332" s="4">
        <v>0</v>
      </c>
      <c r="J332" s="3">
        <v>71.45</v>
      </c>
      <c r="K332" s="3">
        <f t="shared" si="15"/>
        <v>381.75</v>
      </c>
      <c r="L332" s="3">
        <f t="shared" si="16"/>
        <v>167.39999999999998</v>
      </c>
      <c r="M332" s="5">
        <f t="shared" si="17"/>
        <v>0.4385068762278978</v>
      </c>
    </row>
    <row r="333" spans="1:13">
      <c r="A333" t="s">
        <v>371</v>
      </c>
      <c r="B333" s="2">
        <v>46176</v>
      </c>
      <c r="C333" t="s">
        <v>19</v>
      </c>
      <c r="D333" t="s">
        <v>15</v>
      </c>
      <c r="E333" t="s">
        <v>32</v>
      </c>
      <c r="F333" t="s">
        <v>17</v>
      </c>
      <c r="G333">
        <v>1</v>
      </c>
      <c r="H333" s="3">
        <v>96.83</v>
      </c>
      <c r="I333" s="4">
        <v>0.15</v>
      </c>
      <c r="J333" s="3">
        <v>47.76</v>
      </c>
      <c r="K333" s="3">
        <f t="shared" si="15"/>
        <v>82.305499999999995</v>
      </c>
      <c r="L333" s="3">
        <f t="shared" si="16"/>
        <v>34.545499999999997</v>
      </c>
      <c r="M333" s="5">
        <f t="shared" si="17"/>
        <v>0.41972286177715945</v>
      </c>
    </row>
    <row r="334" spans="1:13">
      <c r="A334" t="s">
        <v>372</v>
      </c>
      <c r="B334" s="2">
        <v>46178</v>
      </c>
      <c r="C334" t="s">
        <v>27</v>
      </c>
      <c r="D334" t="s">
        <v>24</v>
      </c>
      <c r="E334" t="s">
        <v>45</v>
      </c>
      <c r="F334" t="s">
        <v>47</v>
      </c>
      <c r="G334">
        <v>1</v>
      </c>
      <c r="H334" s="3">
        <v>128.93</v>
      </c>
      <c r="I334" s="4">
        <v>0.1</v>
      </c>
      <c r="J334" s="3">
        <v>71.42</v>
      </c>
      <c r="K334" s="3">
        <f t="shared" si="15"/>
        <v>116.03700000000001</v>
      </c>
      <c r="L334" s="3">
        <f t="shared" si="16"/>
        <v>44.617000000000004</v>
      </c>
      <c r="M334" s="5">
        <f t="shared" si="17"/>
        <v>0.38450666597723143</v>
      </c>
    </row>
    <row r="335" spans="1:13">
      <c r="A335" t="s">
        <v>373</v>
      </c>
      <c r="B335" s="2">
        <v>46051</v>
      </c>
      <c r="C335" t="s">
        <v>14</v>
      </c>
      <c r="D335" t="s">
        <v>20</v>
      </c>
      <c r="E335" t="s">
        <v>37</v>
      </c>
      <c r="F335" t="s">
        <v>17</v>
      </c>
      <c r="G335">
        <v>1</v>
      </c>
      <c r="H335" s="3">
        <v>302.77999999999997</v>
      </c>
      <c r="I335" s="4">
        <v>0.2</v>
      </c>
      <c r="J335" s="3">
        <v>177.59</v>
      </c>
      <c r="K335" s="3">
        <f t="shared" si="15"/>
        <v>242.22399999999999</v>
      </c>
      <c r="L335" s="3">
        <f t="shared" si="16"/>
        <v>64.633999999999986</v>
      </c>
      <c r="M335" s="5">
        <f t="shared" si="17"/>
        <v>0.26683565625206418</v>
      </c>
    </row>
    <row r="336" spans="1:13">
      <c r="A336" t="s">
        <v>374</v>
      </c>
      <c r="B336" s="2">
        <v>46130</v>
      </c>
      <c r="C336" t="s">
        <v>27</v>
      </c>
      <c r="D336" t="s">
        <v>39</v>
      </c>
      <c r="E336" t="s">
        <v>54</v>
      </c>
      <c r="F336" t="s">
        <v>28</v>
      </c>
      <c r="G336">
        <v>2</v>
      </c>
      <c r="H336" s="3">
        <v>405.75</v>
      </c>
      <c r="I336" s="4">
        <v>0</v>
      </c>
      <c r="J336" s="3">
        <v>268.14</v>
      </c>
      <c r="K336" s="3">
        <f t="shared" si="15"/>
        <v>811.5</v>
      </c>
      <c r="L336" s="3">
        <f t="shared" si="16"/>
        <v>275.22000000000003</v>
      </c>
      <c r="M336" s="5">
        <f t="shared" si="17"/>
        <v>0.33914972273567473</v>
      </c>
    </row>
    <row r="337" spans="1:13">
      <c r="A337" t="s">
        <v>375</v>
      </c>
      <c r="B337" s="2">
        <v>46259</v>
      </c>
      <c r="C337" t="s">
        <v>14</v>
      </c>
      <c r="D337" t="s">
        <v>24</v>
      </c>
      <c r="E337" t="s">
        <v>56</v>
      </c>
      <c r="F337" t="s">
        <v>43</v>
      </c>
      <c r="G337">
        <v>5</v>
      </c>
      <c r="H337" s="3">
        <v>65.33</v>
      </c>
      <c r="I337" s="4">
        <v>0.1</v>
      </c>
      <c r="J337" s="3">
        <v>29.02</v>
      </c>
      <c r="K337" s="3">
        <f t="shared" si="15"/>
        <v>293.98500000000001</v>
      </c>
      <c r="L337" s="3">
        <f t="shared" si="16"/>
        <v>148.88500000000002</v>
      </c>
      <c r="M337" s="5">
        <f t="shared" si="17"/>
        <v>0.50643740326887432</v>
      </c>
    </row>
    <row r="338" spans="1:13">
      <c r="A338" t="s">
        <v>376</v>
      </c>
      <c r="B338" s="2">
        <v>46125</v>
      </c>
      <c r="C338" t="s">
        <v>14</v>
      </c>
      <c r="D338" t="s">
        <v>39</v>
      </c>
      <c r="E338" t="s">
        <v>54</v>
      </c>
      <c r="F338" t="s">
        <v>22</v>
      </c>
      <c r="G338">
        <v>2</v>
      </c>
      <c r="H338" s="3">
        <v>422.53</v>
      </c>
      <c r="I338" s="4">
        <v>0</v>
      </c>
      <c r="J338" s="3">
        <v>267.33999999999997</v>
      </c>
      <c r="K338" s="3">
        <f t="shared" si="15"/>
        <v>845.06</v>
      </c>
      <c r="L338" s="3">
        <f t="shared" si="16"/>
        <v>310.38</v>
      </c>
      <c r="M338" s="5">
        <f t="shared" si="17"/>
        <v>0.36728752987953522</v>
      </c>
    </row>
    <row r="339" spans="1:13">
      <c r="A339" t="s">
        <v>377</v>
      </c>
      <c r="B339" s="2">
        <v>46160</v>
      </c>
      <c r="C339" t="s">
        <v>14</v>
      </c>
      <c r="D339" t="s">
        <v>20</v>
      </c>
      <c r="E339" t="s">
        <v>35</v>
      </c>
      <c r="F339" t="s">
        <v>28</v>
      </c>
      <c r="G339">
        <v>7</v>
      </c>
      <c r="H339" s="3">
        <v>36.270000000000003</v>
      </c>
      <c r="I339" s="4">
        <v>0.1</v>
      </c>
      <c r="J339" s="3">
        <v>15.73</v>
      </c>
      <c r="K339" s="3">
        <f t="shared" si="15"/>
        <v>228.501</v>
      </c>
      <c r="L339" s="3">
        <f t="shared" si="16"/>
        <v>118.39100000000001</v>
      </c>
      <c r="M339" s="5">
        <f t="shared" si="17"/>
        <v>0.51812027080844292</v>
      </c>
    </row>
    <row r="340" spans="1:13">
      <c r="A340" t="s">
        <v>378</v>
      </c>
      <c r="B340" s="2">
        <v>46259</v>
      </c>
      <c r="C340" t="s">
        <v>27</v>
      </c>
      <c r="D340" t="s">
        <v>24</v>
      </c>
      <c r="E340" t="s">
        <v>56</v>
      </c>
      <c r="F340" t="s">
        <v>28</v>
      </c>
      <c r="G340">
        <v>1</v>
      </c>
      <c r="H340" s="3">
        <v>66.739999999999995</v>
      </c>
      <c r="I340" s="4">
        <v>0</v>
      </c>
      <c r="J340" s="3">
        <v>29.49</v>
      </c>
      <c r="K340" s="3">
        <f t="shared" si="15"/>
        <v>66.739999999999995</v>
      </c>
      <c r="L340" s="3">
        <f t="shared" si="16"/>
        <v>37.25</v>
      </c>
      <c r="M340" s="5">
        <f t="shared" si="17"/>
        <v>0.55813605034462099</v>
      </c>
    </row>
    <row r="341" spans="1:13">
      <c r="A341" t="s">
        <v>379</v>
      </c>
      <c r="B341" s="2">
        <v>46026</v>
      </c>
      <c r="C341" t="s">
        <v>19</v>
      </c>
      <c r="D341" t="s">
        <v>20</v>
      </c>
      <c r="E341" t="s">
        <v>21</v>
      </c>
      <c r="F341" t="s">
        <v>43</v>
      </c>
      <c r="G341">
        <v>8</v>
      </c>
      <c r="H341" s="3">
        <v>1208.48</v>
      </c>
      <c r="I341" s="4">
        <v>0.2</v>
      </c>
      <c r="J341" s="3">
        <v>866.28</v>
      </c>
      <c r="K341" s="3">
        <f t="shared" si="15"/>
        <v>7734.2720000000008</v>
      </c>
      <c r="L341" s="3">
        <f t="shared" si="16"/>
        <v>804.03200000000106</v>
      </c>
      <c r="M341" s="5">
        <f t="shared" si="17"/>
        <v>0.10395703693896477</v>
      </c>
    </row>
    <row r="342" spans="1:13">
      <c r="A342" t="s">
        <v>380</v>
      </c>
      <c r="B342" s="2">
        <v>46089</v>
      </c>
      <c r="C342" t="s">
        <v>14</v>
      </c>
      <c r="D342" t="s">
        <v>39</v>
      </c>
      <c r="E342" t="s">
        <v>40</v>
      </c>
      <c r="F342" t="s">
        <v>33</v>
      </c>
      <c r="G342">
        <v>5</v>
      </c>
      <c r="H342" s="3">
        <v>53.38</v>
      </c>
      <c r="I342" s="4">
        <v>0.1</v>
      </c>
      <c r="J342" s="3">
        <v>24.6</v>
      </c>
      <c r="K342" s="3">
        <f t="shared" si="15"/>
        <v>240.21000000000004</v>
      </c>
      <c r="L342" s="3">
        <f t="shared" si="16"/>
        <v>117.21000000000004</v>
      </c>
      <c r="M342" s="5">
        <f t="shared" si="17"/>
        <v>0.48794804546022236</v>
      </c>
    </row>
    <row r="343" spans="1:13">
      <c r="A343" t="s">
        <v>381</v>
      </c>
      <c r="B343" s="2">
        <v>46229</v>
      </c>
      <c r="C343" t="s">
        <v>27</v>
      </c>
      <c r="D343" t="s">
        <v>20</v>
      </c>
      <c r="E343" t="s">
        <v>35</v>
      </c>
      <c r="F343" t="s">
        <v>17</v>
      </c>
      <c r="G343">
        <v>2</v>
      </c>
      <c r="H343" s="3">
        <v>35.21</v>
      </c>
      <c r="I343" s="4">
        <v>0.05</v>
      </c>
      <c r="J343" s="3">
        <v>15.72</v>
      </c>
      <c r="K343" s="3">
        <f t="shared" si="15"/>
        <v>66.899000000000001</v>
      </c>
      <c r="L343" s="3">
        <f t="shared" si="16"/>
        <v>35.459000000000003</v>
      </c>
      <c r="M343" s="5">
        <f t="shared" si="17"/>
        <v>0.53003781820356066</v>
      </c>
    </row>
    <row r="344" spans="1:13">
      <c r="A344" t="s">
        <v>382</v>
      </c>
      <c r="B344" s="2">
        <v>46065</v>
      </c>
      <c r="C344" t="s">
        <v>27</v>
      </c>
      <c r="D344" t="s">
        <v>15</v>
      </c>
      <c r="E344" t="s">
        <v>16</v>
      </c>
      <c r="F344" t="s">
        <v>28</v>
      </c>
      <c r="G344">
        <v>2</v>
      </c>
      <c r="H344" s="3">
        <v>70.41</v>
      </c>
      <c r="I344" s="4">
        <v>0</v>
      </c>
      <c r="J344" s="3">
        <v>31.43</v>
      </c>
      <c r="K344" s="3">
        <f t="shared" si="15"/>
        <v>140.82</v>
      </c>
      <c r="L344" s="3">
        <f t="shared" si="16"/>
        <v>77.959999999999994</v>
      </c>
      <c r="M344" s="5">
        <f t="shared" si="17"/>
        <v>0.55361454338872318</v>
      </c>
    </row>
    <row r="345" spans="1:13">
      <c r="A345" t="s">
        <v>383</v>
      </c>
      <c r="B345" s="2">
        <v>46085</v>
      </c>
      <c r="C345" t="s">
        <v>14</v>
      </c>
      <c r="D345" t="s">
        <v>15</v>
      </c>
      <c r="E345" t="s">
        <v>82</v>
      </c>
      <c r="F345" t="s">
        <v>43</v>
      </c>
      <c r="G345">
        <v>3</v>
      </c>
      <c r="H345" s="3">
        <v>88.95</v>
      </c>
      <c r="I345" s="4">
        <v>0</v>
      </c>
      <c r="J345" s="3">
        <v>41.23</v>
      </c>
      <c r="K345" s="3">
        <f t="shared" si="15"/>
        <v>266.85000000000002</v>
      </c>
      <c r="L345" s="3">
        <f t="shared" si="16"/>
        <v>143.16000000000003</v>
      </c>
      <c r="M345" s="5">
        <f t="shared" si="17"/>
        <v>0.53648116919617772</v>
      </c>
    </row>
    <row r="346" spans="1:13">
      <c r="A346" t="s">
        <v>384</v>
      </c>
      <c r="B346" s="2">
        <v>46212</v>
      </c>
      <c r="C346" t="s">
        <v>19</v>
      </c>
      <c r="D346" t="s">
        <v>39</v>
      </c>
      <c r="E346" t="s">
        <v>54</v>
      </c>
      <c r="F346" t="s">
        <v>28</v>
      </c>
      <c r="G346">
        <v>4</v>
      </c>
      <c r="H346" s="3">
        <v>430.43</v>
      </c>
      <c r="I346" s="4">
        <v>0.05</v>
      </c>
      <c r="J346" s="3">
        <v>268.26</v>
      </c>
      <c r="K346" s="3">
        <f t="shared" si="15"/>
        <v>1635.634</v>
      </c>
      <c r="L346" s="3">
        <f t="shared" si="16"/>
        <v>562.59400000000005</v>
      </c>
      <c r="M346" s="5">
        <f t="shared" si="17"/>
        <v>0.34396081274906248</v>
      </c>
    </row>
    <row r="347" spans="1:13">
      <c r="A347" t="s">
        <v>385</v>
      </c>
      <c r="B347" s="2">
        <v>46169</v>
      </c>
      <c r="C347" t="s">
        <v>27</v>
      </c>
      <c r="D347" t="s">
        <v>20</v>
      </c>
      <c r="E347" t="s">
        <v>21</v>
      </c>
      <c r="F347" t="s">
        <v>28</v>
      </c>
      <c r="G347">
        <v>4</v>
      </c>
      <c r="H347" s="3">
        <v>1257.99</v>
      </c>
      <c r="I347" s="4">
        <v>0.15</v>
      </c>
      <c r="J347" s="3">
        <v>873.55</v>
      </c>
      <c r="K347" s="3">
        <f t="shared" si="15"/>
        <v>4277.1660000000002</v>
      </c>
      <c r="L347" s="3">
        <f t="shared" si="16"/>
        <v>782.96600000000035</v>
      </c>
      <c r="M347" s="5">
        <f t="shared" si="17"/>
        <v>0.18305719254291283</v>
      </c>
    </row>
    <row r="348" spans="1:13">
      <c r="A348" t="s">
        <v>386</v>
      </c>
      <c r="B348" s="2">
        <v>46247</v>
      </c>
      <c r="C348" t="s">
        <v>27</v>
      </c>
      <c r="D348" t="s">
        <v>15</v>
      </c>
      <c r="E348" t="s">
        <v>82</v>
      </c>
      <c r="F348" t="s">
        <v>33</v>
      </c>
      <c r="G348">
        <v>6</v>
      </c>
      <c r="H348" s="3">
        <v>85.09</v>
      </c>
      <c r="I348" s="4">
        <v>0</v>
      </c>
      <c r="J348" s="3">
        <v>41.93</v>
      </c>
      <c r="K348" s="3">
        <f t="shared" si="15"/>
        <v>510.54</v>
      </c>
      <c r="L348" s="3">
        <f t="shared" si="16"/>
        <v>258.96000000000004</v>
      </c>
      <c r="M348" s="5">
        <f t="shared" si="17"/>
        <v>0.50722764132095433</v>
      </c>
    </row>
    <row r="349" spans="1:13">
      <c r="A349" t="s">
        <v>387</v>
      </c>
      <c r="B349" s="2">
        <v>46167</v>
      </c>
      <c r="C349" t="s">
        <v>30</v>
      </c>
      <c r="D349" t="s">
        <v>39</v>
      </c>
      <c r="E349" t="s">
        <v>54</v>
      </c>
      <c r="F349" t="s">
        <v>22</v>
      </c>
      <c r="G349">
        <v>6</v>
      </c>
      <c r="H349" s="3">
        <v>421.85</v>
      </c>
      <c r="I349" s="4">
        <v>0.05</v>
      </c>
      <c r="J349" s="3">
        <v>275.02999999999997</v>
      </c>
      <c r="K349" s="3">
        <f t="shared" si="15"/>
        <v>2404.5450000000001</v>
      </c>
      <c r="L349" s="3">
        <f t="shared" si="16"/>
        <v>754.36500000000024</v>
      </c>
      <c r="M349" s="5">
        <f t="shared" si="17"/>
        <v>0.31372463397441103</v>
      </c>
    </row>
    <row r="350" spans="1:13">
      <c r="A350" t="s">
        <v>388</v>
      </c>
      <c r="B350" s="2">
        <v>46210</v>
      </c>
      <c r="C350" t="s">
        <v>60</v>
      </c>
      <c r="D350" t="s">
        <v>39</v>
      </c>
      <c r="E350" t="s">
        <v>65</v>
      </c>
      <c r="F350" t="s">
        <v>43</v>
      </c>
      <c r="G350">
        <v>1</v>
      </c>
      <c r="H350" s="3">
        <v>211.67</v>
      </c>
      <c r="I350" s="4">
        <v>0.2</v>
      </c>
      <c r="J350" s="3">
        <v>130.91999999999999</v>
      </c>
      <c r="K350" s="3">
        <f t="shared" si="15"/>
        <v>169.33600000000001</v>
      </c>
      <c r="L350" s="3">
        <f t="shared" si="16"/>
        <v>38.416000000000025</v>
      </c>
      <c r="M350" s="5">
        <f t="shared" si="17"/>
        <v>0.22686256909340025</v>
      </c>
    </row>
    <row r="351" spans="1:13">
      <c r="A351" t="s">
        <v>389</v>
      </c>
      <c r="B351" s="2">
        <v>46237</v>
      </c>
      <c r="C351" t="s">
        <v>19</v>
      </c>
      <c r="D351" t="s">
        <v>20</v>
      </c>
      <c r="E351" t="s">
        <v>35</v>
      </c>
      <c r="F351" t="s">
        <v>33</v>
      </c>
      <c r="G351">
        <v>1</v>
      </c>
      <c r="H351" s="3">
        <v>34.79</v>
      </c>
      <c r="I351" s="4">
        <v>0.1</v>
      </c>
      <c r="J351" s="3">
        <v>16.27</v>
      </c>
      <c r="K351" s="3">
        <f t="shared" si="15"/>
        <v>31.311</v>
      </c>
      <c r="L351" s="3">
        <f t="shared" si="16"/>
        <v>15.041</v>
      </c>
      <c r="M351" s="5">
        <f t="shared" si="17"/>
        <v>0.4803743093481524</v>
      </c>
    </row>
    <row r="352" spans="1:13">
      <c r="A352" t="s">
        <v>390</v>
      </c>
      <c r="B352" s="2">
        <v>46049</v>
      </c>
      <c r="C352" t="s">
        <v>14</v>
      </c>
      <c r="D352" t="s">
        <v>39</v>
      </c>
      <c r="E352" t="s">
        <v>54</v>
      </c>
      <c r="F352" t="s">
        <v>33</v>
      </c>
      <c r="G352">
        <v>8</v>
      </c>
      <c r="H352" s="3">
        <v>439.96</v>
      </c>
      <c r="I352" s="4">
        <v>0.2</v>
      </c>
      <c r="J352" s="3">
        <v>266.52</v>
      </c>
      <c r="K352" s="3">
        <f t="shared" si="15"/>
        <v>2815.7440000000001</v>
      </c>
      <c r="L352" s="3">
        <f t="shared" si="16"/>
        <v>683.58400000000029</v>
      </c>
      <c r="M352" s="5">
        <f t="shared" si="17"/>
        <v>0.24277207018819902</v>
      </c>
    </row>
    <row r="353" spans="1:13">
      <c r="A353" t="s">
        <v>391</v>
      </c>
      <c r="B353" s="2">
        <v>46046</v>
      </c>
      <c r="C353" t="s">
        <v>14</v>
      </c>
      <c r="D353" t="s">
        <v>39</v>
      </c>
      <c r="E353" t="s">
        <v>40</v>
      </c>
      <c r="F353" t="s">
        <v>28</v>
      </c>
      <c r="G353">
        <v>7</v>
      </c>
      <c r="H353" s="3">
        <v>54.64</v>
      </c>
      <c r="I353" s="4">
        <v>0.1</v>
      </c>
      <c r="J353" s="3">
        <v>24.69</v>
      </c>
      <c r="K353" s="3">
        <f t="shared" si="15"/>
        <v>344.23200000000003</v>
      </c>
      <c r="L353" s="3">
        <f t="shared" si="16"/>
        <v>171.40200000000002</v>
      </c>
      <c r="M353" s="5">
        <f t="shared" si="17"/>
        <v>0.49792581747193754</v>
      </c>
    </row>
    <row r="354" spans="1:13">
      <c r="A354" t="s">
        <v>392</v>
      </c>
      <c r="B354" s="2">
        <v>46171</v>
      </c>
      <c r="C354" t="s">
        <v>14</v>
      </c>
      <c r="D354" t="s">
        <v>39</v>
      </c>
      <c r="E354" t="s">
        <v>40</v>
      </c>
      <c r="F354" t="s">
        <v>22</v>
      </c>
      <c r="G354">
        <v>7</v>
      </c>
      <c r="H354" s="3">
        <v>55.61</v>
      </c>
      <c r="I354" s="4">
        <v>0</v>
      </c>
      <c r="J354" s="3">
        <v>24.04</v>
      </c>
      <c r="K354" s="3">
        <f t="shared" si="15"/>
        <v>389.27</v>
      </c>
      <c r="L354" s="3">
        <f t="shared" si="16"/>
        <v>220.98999999999998</v>
      </c>
      <c r="M354" s="5">
        <f t="shared" si="17"/>
        <v>0.56770365042258586</v>
      </c>
    </row>
    <row r="355" spans="1:13">
      <c r="A355" t="s">
        <v>393</v>
      </c>
      <c r="B355" s="2">
        <v>46083</v>
      </c>
      <c r="C355" t="s">
        <v>14</v>
      </c>
      <c r="D355" t="s">
        <v>15</v>
      </c>
      <c r="E355" t="s">
        <v>82</v>
      </c>
      <c r="F355" t="s">
        <v>22</v>
      </c>
      <c r="G355">
        <v>6</v>
      </c>
      <c r="H355" s="3">
        <v>83.68</v>
      </c>
      <c r="I355" s="4">
        <v>0</v>
      </c>
      <c r="J355" s="3">
        <v>41.32</v>
      </c>
      <c r="K355" s="3">
        <f t="shared" si="15"/>
        <v>502.08000000000004</v>
      </c>
      <c r="L355" s="3">
        <f t="shared" si="16"/>
        <v>254.16000000000003</v>
      </c>
      <c r="M355" s="5">
        <f t="shared" si="17"/>
        <v>0.50621414913957941</v>
      </c>
    </row>
    <row r="356" spans="1:13">
      <c r="A356" t="s">
        <v>394</v>
      </c>
      <c r="B356" s="2">
        <v>46057</v>
      </c>
      <c r="C356" t="s">
        <v>30</v>
      </c>
      <c r="D356" t="s">
        <v>20</v>
      </c>
      <c r="E356" t="s">
        <v>21</v>
      </c>
      <c r="F356" t="s">
        <v>17</v>
      </c>
      <c r="G356">
        <v>2</v>
      </c>
      <c r="H356" s="3">
        <v>1202.33</v>
      </c>
      <c r="I356" s="4">
        <v>0</v>
      </c>
      <c r="J356" s="3">
        <v>850.28</v>
      </c>
      <c r="K356" s="3">
        <f t="shared" si="15"/>
        <v>2404.66</v>
      </c>
      <c r="L356" s="3">
        <f t="shared" si="16"/>
        <v>704.09999999999991</v>
      </c>
      <c r="M356" s="5">
        <f t="shared" si="17"/>
        <v>0.2928064674423827</v>
      </c>
    </row>
    <row r="357" spans="1:13">
      <c r="A357" t="s">
        <v>395</v>
      </c>
      <c r="B357" s="2">
        <v>46114</v>
      </c>
      <c r="C357" t="s">
        <v>60</v>
      </c>
      <c r="D357" t="s">
        <v>39</v>
      </c>
      <c r="E357" t="s">
        <v>54</v>
      </c>
      <c r="F357" t="s">
        <v>43</v>
      </c>
      <c r="G357">
        <v>5</v>
      </c>
      <c r="H357" s="3">
        <v>435.42</v>
      </c>
      <c r="I357" s="4">
        <v>0.05</v>
      </c>
      <c r="J357" s="3">
        <v>265.82</v>
      </c>
      <c r="K357" s="3">
        <f t="shared" si="15"/>
        <v>2068.2449999999999</v>
      </c>
      <c r="L357" s="3">
        <f t="shared" si="16"/>
        <v>739.14499999999998</v>
      </c>
      <c r="M357" s="5">
        <f t="shared" si="17"/>
        <v>0.35737787351111694</v>
      </c>
    </row>
    <row r="358" spans="1:13">
      <c r="A358" t="s">
        <v>396</v>
      </c>
      <c r="B358" s="2">
        <v>46100</v>
      </c>
      <c r="C358" t="s">
        <v>30</v>
      </c>
      <c r="D358" t="s">
        <v>20</v>
      </c>
      <c r="E358" t="s">
        <v>21</v>
      </c>
      <c r="F358" t="s">
        <v>47</v>
      </c>
      <c r="G358">
        <v>6</v>
      </c>
      <c r="H358" s="3">
        <v>1228.8</v>
      </c>
      <c r="I358" s="4">
        <v>0</v>
      </c>
      <c r="J358" s="3">
        <v>874.16</v>
      </c>
      <c r="K358" s="3">
        <f t="shared" si="15"/>
        <v>7372.7999999999993</v>
      </c>
      <c r="L358" s="3">
        <f t="shared" si="16"/>
        <v>2127.8399999999992</v>
      </c>
      <c r="M358" s="5">
        <f t="shared" si="17"/>
        <v>0.28860677083333325</v>
      </c>
    </row>
    <row r="359" spans="1:13">
      <c r="A359" t="s">
        <v>397</v>
      </c>
      <c r="B359" s="2">
        <v>46154</v>
      </c>
      <c r="C359" t="s">
        <v>14</v>
      </c>
      <c r="D359" t="s">
        <v>15</v>
      </c>
      <c r="E359" t="s">
        <v>82</v>
      </c>
      <c r="F359" t="s">
        <v>43</v>
      </c>
      <c r="G359">
        <v>3</v>
      </c>
      <c r="H359" s="3">
        <v>84.69</v>
      </c>
      <c r="I359" s="4">
        <v>0</v>
      </c>
      <c r="J359" s="3">
        <v>42.11</v>
      </c>
      <c r="K359" s="3">
        <f t="shared" si="15"/>
        <v>254.07</v>
      </c>
      <c r="L359" s="3">
        <f t="shared" si="16"/>
        <v>127.74</v>
      </c>
      <c r="M359" s="5">
        <f t="shared" si="17"/>
        <v>0.50277482583539967</v>
      </c>
    </row>
    <row r="360" spans="1:13">
      <c r="A360" t="s">
        <v>398</v>
      </c>
      <c r="B360" s="2">
        <v>46163</v>
      </c>
      <c r="C360" t="s">
        <v>14</v>
      </c>
      <c r="D360" t="s">
        <v>24</v>
      </c>
      <c r="E360" t="s">
        <v>25</v>
      </c>
      <c r="F360" t="s">
        <v>22</v>
      </c>
      <c r="G360">
        <v>3</v>
      </c>
      <c r="H360" s="3">
        <v>173.8</v>
      </c>
      <c r="I360" s="4">
        <v>0</v>
      </c>
      <c r="J360" s="3">
        <v>112.1</v>
      </c>
      <c r="K360" s="3">
        <f t="shared" si="15"/>
        <v>521.40000000000009</v>
      </c>
      <c r="L360" s="3">
        <f t="shared" si="16"/>
        <v>185.10000000000014</v>
      </c>
      <c r="M360" s="5">
        <f t="shared" si="17"/>
        <v>0.35500575373993115</v>
      </c>
    </row>
    <row r="361" spans="1:13">
      <c r="A361" t="s">
        <v>399</v>
      </c>
      <c r="B361" s="2">
        <v>46056</v>
      </c>
      <c r="C361" t="s">
        <v>14</v>
      </c>
      <c r="D361" t="s">
        <v>24</v>
      </c>
      <c r="E361" t="s">
        <v>45</v>
      </c>
      <c r="F361" t="s">
        <v>28</v>
      </c>
      <c r="G361">
        <v>2</v>
      </c>
      <c r="H361" s="3">
        <v>122.91</v>
      </c>
      <c r="I361" s="4">
        <v>0.05</v>
      </c>
      <c r="J361" s="3">
        <v>73.489999999999995</v>
      </c>
      <c r="K361" s="3">
        <f t="shared" si="15"/>
        <v>233.529</v>
      </c>
      <c r="L361" s="3">
        <f t="shared" si="16"/>
        <v>86.549000000000007</v>
      </c>
      <c r="M361" s="5">
        <f t="shared" si="17"/>
        <v>0.37061349982229191</v>
      </c>
    </row>
    <row r="362" spans="1:13">
      <c r="A362" t="s">
        <v>400</v>
      </c>
      <c r="B362" s="2">
        <v>46039</v>
      </c>
      <c r="C362" t="s">
        <v>14</v>
      </c>
      <c r="D362" t="s">
        <v>24</v>
      </c>
      <c r="E362" t="s">
        <v>25</v>
      </c>
      <c r="F362" t="s">
        <v>28</v>
      </c>
      <c r="G362">
        <v>2</v>
      </c>
      <c r="H362" s="3">
        <v>186.24</v>
      </c>
      <c r="I362" s="4">
        <v>0.15</v>
      </c>
      <c r="J362" s="3">
        <v>109.62</v>
      </c>
      <c r="K362" s="3">
        <f t="shared" si="15"/>
        <v>316.608</v>
      </c>
      <c r="L362" s="3">
        <f t="shared" si="16"/>
        <v>97.367999999999995</v>
      </c>
      <c r="M362" s="5">
        <f t="shared" si="17"/>
        <v>0.30753486961795024</v>
      </c>
    </row>
    <row r="363" spans="1:13">
      <c r="A363" t="s">
        <v>401</v>
      </c>
      <c r="B363" s="2">
        <v>46264</v>
      </c>
      <c r="C363" t="s">
        <v>27</v>
      </c>
      <c r="D363" t="s">
        <v>39</v>
      </c>
      <c r="E363" t="s">
        <v>40</v>
      </c>
      <c r="F363" t="s">
        <v>43</v>
      </c>
      <c r="G363">
        <v>7</v>
      </c>
      <c r="H363" s="3">
        <v>54.76</v>
      </c>
      <c r="I363" s="4">
        <v>0.15</v>
      </c>
      <c r="J363" s="3">
        <v>23.56</v>
      </c>
      <c r="K363" s="3">
        <f t="shared" si="15"/>
        <v>325.822</v>
      </c>
      <c r="L363" s="3">
        <f t="shared" si="16"/>
        <v>160.90200000000002</v>
      </c>
      <c r="M363" s="5">
        <f t="shared" si="17"/>
        <v>0.49383405663214891</v>
      </c>
    </row>
    <row r="364" spans="1:13">
      <c r="A364" t="s">
        <v>402</v>
      </c>
      <c r="B364" s="2">
        <v>46132</v>
      </c>
      <c r="C364" t="s">
        <v>14</v>
      </c>
      <c r="D364" t="s">
        <v>39</v>
      </c>
      <c r="E364" t="s">
        <v>65</v>
      </c>
      <c r="F364" t="s">
        <v>17</v>
      </c>
      <c r="G364">
        <v>5</v>
      </c>
      <c r="H364" s="3">
        <v>228.69</v>
      </c>
      <c r="I364" s="4">
        <v>0</v>
      </c>
      <c r="J364" s="3">
        <v>127.63</v>
      </c>
      <c r="K364" s="3">
        <f t="shared" si="15"/>
        <v>1143.45</v>
      </c>
      <c r="L364" s="3">
        <f t="shared" si="16"/>
        <v>505.30000000000007</v>
      </c>
      <c r="M364" s="5">
        <f t="shared" si="17"/>
        <v>0.44190826009007833</v>
      </c>
    </row>
    <row r="365" spans="1:13">
      <c r="A365" t="s">
        <v>403</v>
      </c>
      <c r="B365" s="2">
        <v>46180</v>
      </c>
      <c r="C365" t="s">
        <v>14</v>
      </c>
      <c r="D365" t="s">
        <v>15</v>
      </c>
      <c r="E365" t="s">
        <v>82</v>
      </c>
      <c r="F365" t="s">
        <v>47</v>
      </c>
      <c r="G365">
        <v>7</v>
      </c>
      <c r="H365" s="3">
        <v>85.26</v>
      </c>
      <c r="I365" s="4">
        <v>0.15</v>
      </c>
      <c r="J365" s="3">
        <v>41.34</v>
      </c>
      <c r="K365" s="3">
        <f t="shared" si="15"/>
        <v>507.29700000000003</v>
      </c>
      <c r="L365" s="3">
        <f t="shared" si="16"/>
        <v>217.91700000000003</v>
      </c>
      <c r="M365" s="5">
        <f t="shared" si="17"/>
        <v>0.42956492942004393</v>
      </c>
    </row>
    <row r="366" spans="1:13">
      <c r="A366" t="s">
        <v>404</v>
      </c>
      <c r="B366" s="2">
        <v>46058</v>
      </c>
      <c r="C366" t="s">
        <v>27</v>
      </c>
      <c r="D366" t="s">
        <v>39</v>
      </c>
      <c r="E366" t="s">
        <v>40</v>
      </c>
      <c r="F366" t="s">
        <v>17</v>
      </c>
      <c r="G366">
        <v>1</v>
      </c>
      <c r="H366" s="3">
        <v>56.67</v>
      </c>
      <c r="I366" s="4">
        <v>0.2</v>
      </c>
      <c r="J366" s="3">
        <v>23.95</v>
      </c>
      <c r="K366" s="3">
        <f t="shared" si="15"/>
        <v>45.336000000000006</v>
      </c>
      <c r="L366" s="3">
        <f t="shared" si="16"/>
        <v>21.386000000000006</v>
      </c>
      <c r="M366" s="5">
        <f t="shared" si="17"/>
        <v>0.47172225163225701</v>
      </c>
    </row>
    <row r="367" spans="1:13">
      <c r="A367" t="s">
        <v>405</v>
      </c>
      <c r="B367" s="2">
        <v>46223</v>
      </c>
      <c r="C367" t="s">
        <v>27</v>
      </c>
      <c r="D367" t="s">
        <v>15</v>
      </c>
      <c r="E367" t="s">
        <v>82</v>
      </c>
      <c r="F367" t="s">
        <v>33</v>
      </c>
      <c r="G367">
        <v>5</v>
      </c>
      <c r="H367" s="3">
        <v>84.04</v>
      </c>
      <c r="I367" s="4">
        <v>0</v>
      </c>
      <c r="J367" s="3">
        <v>41.62</v>
      </c>
      <c r="K367" s="3">
        <f t="shared" si="15"/>
        <v>420.20000000000005</v>
      </c>
      <c r="L367" s="3">
        <f t="shared" si="16"/>
        <v>212.10000000000005</v>
      </c>
      <c r="M367" s="5">
        <f t="shared" si="17"/>
        <v>0.50475963826749171</v>
      </c>
    </row>
    <row r="368" spans="1:13">
      <c r="A368" t="s">
        <v>406</v>
      </c>
      <c r="B368" s="2">
        <v>46037</v>
      </c>
      <c r="C368" t="s">
        <v>30</v>
      </c>
      <c r="D368" t="s">
        <v>24</v>
      </c>
      <c r="E368" t="s">
        <v>56</v>
      </c>
      <c r="F368" t="s">
        <v>28</v>
      </c>
      <c r="G368">
        <v>6</v>
      </c>
      <c r="H368" s="3">
        <v>68.25</v>
      </c>
      <c r="I368" s="4">
        <v>0.1</v>
      </c>
      <c r="J368" s="3">
        <v>29.83</v>
      </c>
      <c r="K368" s="3">
        <f t="shared" si="15"/>
        <v>368.55</v>
      </c>
      <c r="L368" s="3">
        <f t="shared" si="16"/>
        <v>189.57000000000002</v>
      </c>
      <c r="M368" s="5">
        <f t="shared" si="17"/>
        <v>0.51436711436711446</v>
      </c>
    </row>
    <row r="369" spans="1:13">
      <c r="A369" t="s">
        <v>407</v>
      </c>
      <c r="B369" s="2">
        <v>46086</v>
      </c>
      <c r="C369" t="s">
        <v>19</v>
      </c>
      <c r="D369" t="s">
        <v>15</v>
      </c>
      <c r="E369" t="s">
        <v>32</v>
      </c>
      <c r="F369" t="s">
        <v>47</v>
      </c>
      <c r="G369">
        <v>1</v>
      </c>
      <c r="H369" s="3">
        <v>99.3</v>
      </c>
      <c r="I369" s="4">
        <v>0.1</v>
      </c>
      <c r="J369" s="3">
        <v>48.42</v>
      </c>
      <c r="K369" s="3">
        <f t="shared" si="15"/>
        <v>89.37</v>
      </c>
      <c r="L369" s="3">
        <f t="shared" si="16"/>
        <v>40.950000000000003</v>
      </c>
      <c r="M369" s="5">
        <f t="shared" si="17"/>
        <v>0.45820745216515613</v>
      </c>
    </row>
    <row r="370" spans="1:13">
      <c r="A370" t="s">
        <v>408</v>
      </c>
      <c r="B370" s="2">
        <v>46113</v>
      </c>
      <c r="C370" t="s">
        <v>60</v>
      </c>
      <c r="D370" t="s">
        <v>39</v>
      </c>
      <c r="E370" t="s">
        <v>65</v>
      </c>
      <c r="F370" t="s">
        <v>17</v>
      </c>
      <c r="G370">
        <v>4</v>
      </c>
      <c r="H370" s="3">
        <v>227.16</v>
      </c>
      <c r="I370" s="4">
        <v>0.05</v>
      </c>
      <c r="J370" s="3">
        <v>131.93</v>
      </c>
      <c r="K370" s="3">
        <f t="shared" si="15"/>
        <v>863.20799999999997</v>
      </c>
      <c r="L370" s="3">
        <f t="shared" si="16"/>
        <v>335.48799999999994</v>
      </c>
      <c r="M370" s="5">
        <f t="shared" si="17"/>
        <v>0.38865256114401159</v>
      </c>
    </row>
    <row r="371" spans="1:13">
      <c r="A371" t="s">
        <v>409</v>
      </c>
      <c r="B371" s="2">
        <v>46030</v>
      </c>
      <c r="C371" t="s">
        <v>19</v>
      </c>
      <c r="D371" t="s">
        <v>15</v>
      </c>
      <c r="E371" t="s">
        <v>32</v>
      </c>
      <c r="F371" t="s">
        <v>47</v>
      </c>
      <c r="G371">
        <v>3</v>
      </c>
      <c r="H371" s="3">
        <v>92.81</v>
      </c>
      <c r="I371" s="4">
        <v>0.05</v>
      </c>
      <c r="J371" s="3">
        <v>49.41</v>
      </c>
      <c r="K371" s="3">
        <f t="shared" si="15"/>
        <v>264.50849999999997</v>
      </c>
      <c r="L371" s="3">
        <f t="shared" si="16"/>
        <v>116.27849999999998</v>
      </c>
      <c r="M371" s="5">
        <f t="shared" si="17"/>
        <v>0.4396021299882612</v>
      </c>
    </row>
    <row r="372" spans="1:13">
      <c r="A372" t="s">
        <v>410</v>
      </c>
      <c r="B372" s="2">
        <v>46161</v>
      </c>
      <c r="C372" t="s">
        <v>14</v>
      </c>
      <c r="D372" t="s">
        <v>24</v>
      </c>
      <c r="E372" t="s">
        <v>25</v>
      </c>
      <c r="F372" t="s">
        <v>47</v>
      </c>
      <c r="G372">
        <v>2</v>
      </c>
      <c r="H372" s="3">
        <v>182.55</v>
      </c>
      <c r="I372" s="4">
        <v>0</v>
      </c>
      <c r="J372" s="3">
        <v>107.91</v>
      </c>
      <c r="K372" s="3">
        <f t="shared" si="15"/>
        <v>365.1</v>
      </c>
      <c r="L372" s="3">
        <f t="shared" si="16"/>
        <v>149.28000000000003</v>
      </c>
      <c r="M372" s="5">
        <f t="shared" si="17"/>
        <v>0.408874281018899</v>
      </c>
    </row>
    <row r="373" spans="1:13">
      <c r="A373" t="s">
        <v>411</v>
      </c>
      <c r="B373" s="2">
        <v>46023</v>
      </c>
      <c r="C373" t="s">
        <v>14</v>
      </c>
      <c r="D373" t="s">
        <v>39</v>
      </c>
      <c r="E373" t="s">
        <v>65</v>
      </c>
      <c r="F373" t="s">
        <v>33</v>
      </c>
      <c r="G373">
        <v>6</v>
      </c>
      <c r="H373" s="3">
        <v>229.39</v>
      </c>
      <c r="I373" s="4">
        <v>0.1</v>
      </c>
      <c r="J373" s="3">
        <v>132.88999999999999</v>
      </c>
      <c r="K373" s="3">
        <f t="shared" si="15"/>
        <v>1238.7059999999999</v>
      </c>
      <c r="L373" s="3">
        <f t="shared" si="16"/>
        <v>441.36599999999999</v>
      </c>
      <c r="M373" s="5">
        <f t="shared" si="17"/>
        <v>0.35631215155169993</v>
      </c>
    </row>
    <row r="374" spans="1:13">
      <c r="A374" t="s">
        <v>412</v>
      </c>
      <c r="B374" s="2">
        <v>46038</v>
      </c>
      <c r="C374" t="s">
        <v>14</v>
      </c>
      <c r="D374" t="s">
        <v>39</v>
      </c>
      <c r="E374" t="s">
        <v>65</v>
      </c>
      <c r="F374" t="s">
        <v>47</v>
      </c>
      <c r="G374">
        <v>6</v>
      </c>
      <c r="H374" s="3">
        <v>218.6</v>
      </c>
      <c r="I374" s="4">
        <v>0.2</v>
      </c>
      <c r="J374" s="3">
        <v>133.52000000000001</v>
      </c>
      <c r="K374" s="3">
        <f t="shared" si="15"/>
        <v>1049.28</v>
      </c>
      <c r="L374" s="3">
        <f t="shared" si="16"/>
        <v>248.15999999999985</v>
      </c>
      <c r="M374" s="5">
        <f t="shared" si="17"/>
        <v>0.23650503202195777</v>
      </c>
    </row>
    <row r="375" spans="1:13">
      <c r="A375" t="s">
        <v>413</v>
      </c>
      <c r="B375" s="2">
        <v>46173</v>
      </c>
      <c r="C375" t="s">
        <v>14</v>
      </c>
      <c r="D375" t="s">
        <v>15</v>
      </c>
      <c r="E375" t="s">
        <v>82</v>
      </c>
      <c r="F375" t="s">
        <v>43</v>
      </c>
      <c r="G375">
        <v>3</v>
      </c>
      <c r="H375" s="3">
        <v>87.2</v>
      </c>
      <c r="I375" s="4">
        <v>0.2</v>
      </c>
      <c r="J375" s="3">
        <v>42.08</v>
      </c>
      <c r="K375" s="3">
        <f t="shared" si="15"/>
        <v>209.28000000000003</v>
      </c>
      <c r="L375" s="3">
        <f t="shared" si="16"/>
        <v>83.040000000000035</v>
      </c>
      <c r="M375" s="5">
        <f t="shared" si="17"/>
        <v>0.39678899082568819</v>
      </c>
    </row>
    <row r="376" spans="1:13">
      <c r="A376" t="s">
        <v>414</v>
      </c>
      <c r="B376" s="2">
        <v>46147</v>
      </c>
      <c r="C376" t="s">
        <v>19</v>
      </c>
      <c r="D376" t="s">
        <v>39</v>
      </c>
      <c r="E376" t="s">
        <v>40</v>
      </c>
      <c r="F376" t="s">
        <v>33</v>
      </c>
      <c r="G376">
        <v>6</v>
      </c>
      <c r="H376" s="3">
        <v>55.72</v>
      </c>
      <c r="I376" s="4">
        <v>0</v>
      </c>
      <c r="J376" s="3">
        <v>23.73</v>
      </c>
      <c r="K376" s="3">
        <f t="shared" si="15"/>
        <v>334.32</v>
      </c>
      <c r="L376" s="3">
        <f t="shared" si="16"/>
        <v>191.94</v>
      </c>
      <c r="M376" s="5">
        <f t="shared" si="17"/>
        <v>0.57412060301507539</v>
      </c>
    </row>
    <row r="377" spans="1:13">
      <c r="A377" t="s">
        <v>415</v>
      </c>
      <c r="B377" s="2">
        <v>46210</v>
      </c>
      <c r="C377" t="s">
        <v>19</v>
      </c>
      <c r="D377" t="s">
        <v>39</v>
      </c>
      <c r="E377" t="s">
        <v>65</v>
      </c>
      <c r="F377" t="s">
        <v>17</v>
      </c>
      <c r="G377">
        <v>1</v>
      </c>
      <c r="H377" s="3">
        <v>229.98</v>
      </c>
      <c r="I377" s="4">
        <v>0.2</v>
      </c>
      <c r="J377" s="3">
        <v>129.94999999999999</v>
      </c>
      <c r="K377" s="3">
        <f t="shared" si="15"/>
        <v>183.98400000000001</v>
      </c>
      <c r="L377" s="3">
        <f t="shared" si="16"/>
        <v>54.03400000000002</v>
      </c>
      <c r="M377" s="5">
        <f t="shared" si="17"/>
        <v>0.29368858161579275</v>
      </c>
    </row>
    <row r="378" spans="1:13">
      <c r="A378" t="s">
        <v>416</v>
      </c>
      <c r="B378" s="2">
        <v>46031</v>
      </c>
      <c r="C378" t="s">
        <v>14</v>
      </c>
      <c r="D378" t="s">
        <v>15</v>
      </c>
      <c r="E378" t="s">
        <v>32</v>
      </c>
      <c r="F378" t="s">
        <v>33</v>
      </c>
      <c r="G378">
        <v>4</v>
      </c>
      <c r="H378" s="3">
        <v>92.09</v>
      </c>
      <c r="I378" s="4">
        <v>0.1</v>
      </c>
      <c r="J378" s="3">
        <v>48.23</v>
      </c>
      <c r="K378" s="3">
        <f t="shared" si="15"/>
        <v>331.524</v>
      </c>
      <c r="L378" s="3">
        <f t="shared" si="16"/>
        <v>138.60400000000001</v>
      </c>
      <c r="M378" s="5">
        <f t="shared" si="17"/>
        <v>0.41808134554361076</v>
      </c>
    </row>
    <row r="379" spans="1:13">
      <c r="A379" t="s">
        <v>417</v>
      </c>
      <c r="B379" s="2">
        <v>46213</v>
      </c>
      <c r="C379" t="s">
        <v>14</v>
      </c>
      <c r="D379" t="s">
        <v>15</v>
      </c>
      <c r="E379" t="s">
        <v>82</v>
      </c>
      <c r="F379" t="s">
        <v>43</v>
      </c>
      <c r="G379">
        <v>3</v>
      </c>
      <c r="H379" s="3">
        <v>88.97</v>
      </c>
      <c r="I379" s="4">
        <v>0.1</v>
      </c>
      <c r="J379" s="3">
        <v>42.89</v>
      </c>
      <c r="K379" s="3">
        <f t="shared" si="15"/>
        <v>240.21899999999997</v>
      </c>
      <c r="L379" s="3">
        <f t="shared" si="16"/>
        <v>111.54899999999995</v>
      </c>
      <c r="M379" s="5">
        <f t="shared" si="17"/>
        <v>0.46436376806164359</v>
      </c>
    </row>
    <row r="380" spans="1:13">
      <c r="A380" t="s">
        <v>418</v>
      </c>
      <c r="B380" s="2">
        <v>46186</v>
      </c>
      <c r="C380" t="s">
        <v>19</v>
      </c>
      <c r="D380" t="s">
        <v>15</v>
      </c>
      <c r="E380" t="s">
        <v>82</v>
      </c>
      <c r="F380" t="s">
        <v>33</v>
      </c>
      <c r="G380">
        <v>1</v>
      </c>
      <c r="H380" s="3">
        <v>83.51</v>
      </c>
      <c r="I380" s="4">
        <v>0</v>
      </c>
      <c r="J380" s="3">
        <v>41.3</v>
      </c>
      <c r="K380" s="3">
        <f t="shared" si="15"/>
        <v>83.51</v>
      </c>
      <c r="L380" s="3">
        <f t="shared" si="16"/>
        <v>42.210000000000008</v>
      </c>
      <c r="M380" s="5">
        <f t="shared" si="17"/>
        <v>0.50544844928751054</v>
      </c>
    </row>
    <row r="381" spans="1:13">
      <c r="A381" t="s">
        <v>419</v>
      </c>
      <c r="B381" s="2">
        <v>46224</v>
      </c>
      <c r="C381" t="s">
        <v>14</v>
      </c>
      <c r="D381" t="s">
        <v>20</v>
      </c>
      <c r="E381" t="s">
        <v>21</v>
      </c>
      <c r="F381" t="s">
        <v>47</v>
      </c>
      <c r="G381">
        <v>7</v>
      </c>
      <c r="H381" s="3">
        <v>1197.32</v>
      </c>
      <c r="I381" s="4">
        <v>0.05</v>
      </c>
      <c r="J381" s="3">
        <v>840.07</v>
      </c>
      <c r="K381" s="3">
        <f t="shared" si="15"/>
        <v>7962.177999999999</v>
      </c>
      <c r="L381" s="3">
        <f t="shared" si="16"/>
        <v>2081.6879999999983</v>
      </c>
      <c r="M381" s="5">
        <f t="shared" si="17"/>
        <v>0.26144705632051918</v>
      </c>
    </row>
    <row r="382" spans="1:13">
      <c r="A382" t="s">
        <v>420</v>
      </c>
      <c r="B382" s="2">
        <v>46149</v>
      </c>
      <c r="C382" t="s">
        <v>60</v>
      </c>
      <c r="D382" t="s">
        <v>15</v>
      </c>
      <c r="E382" t="s">
        <v>32</v>
      </c>
      <c r="F382" t="s">
        <v>43</v>
      </c>
      <c r="G382">
        <v>7</v>
      </c>
      <c r="H382" s="3">
        <v>95.3</v>
      </c>
      <c r="I382" s="4">
        <v>0</v>
      </c>
      <c r="J382" s="3">
        <v>49.11</v>
      </c>
      <c r="K382" s="3">
        <f t="shared" si="15"/>
        <v>667.1</v>
      </c>
      <c r="L382" s="3">
        <f t="shared" si="16"/>
        <v>323.33000000000004</v>
      </c>
      <c r="M382" s="5">
        <f t="shared" si="17"/>
        <v>0.48467995802728231</v>
      </c>
    </row>
    <row r="383" spans="1:13">
      <c r="A383" t="s">
        <v>421</v>
      </c>
      <c r="B383" s="2">
        <v>46217</v>
      </c>
      <c r="C383" t="s">
        <v>19</v>
      </c>
      <c r="D383" t="s">
        <v>39</v>
      </c>
      <c r="E383" t="s">
        <v>54</v>
      </c>
      <c r="F383" t="s">
        <v>33</v>
      </c>
      <c r="G383">
        <v>2</v>
      </c>
      <c r="H383" s="3">
        <v>404.46</v>
      </c>
      <c r="I383" s="4">
        <v>0.1</v>
      </c>
      <c r="J383" s="3">
        <v>264.87</v>
      </c>
      <c r="K383" s="3">
        <f t="shared" si="15"/>
        <v>728.02800000000002</v>
      </c>
      <c r="L383" s="3">
        <f t="shared" si="16"/>
        <v>198.28800000000001</v>
      </c>
      <c r="M383" s="5">
        <f t="shared" si="17"/>
        <v>0.27236315086782376</v>
      </c>
    </row>
    <row r="384" spans="1:13">
      <c r="A384" t="s">
        <v>422</v>
      </c>
      <c r="B384" s="2">
        <v>46049</v>
      </c>
      <c r="C384" t="s">
        <v>14</v>
      </c>
      <c r="D384" t="s">
        <v>39</v>
      </c>
      <c r="E384" t="s">
        <v>54</v>
      </c>
      <c r="F384" t="s">
        <v>28</v>
      </c>
      <c r="G384">
        <v>3</v>
      </c>
      <c r="H384" s="3">
        <v>423.88</v>
      </c>
      <c r="I384" s="4">
        <v>0.1</v>
      </c>
      <c r="J384" s="3">
        <v>276.72000000000003</v>
      </c>
      <c r="K384" s="3">
        <f t="shared" si="15"/>
        <v>1144.4759999999999</v>
      </c>
      <c r="L384" s="3">
        <f t="shared" si="16"/>
        <v>314.3159999999998</v>
      </c>
      <c r="M384" s="5">
        <f t="shared" si="17"/>
        <v>0.27463747601522431</v>
      </c>
    </row>
    <row r="385" spans="1:13">
      <c r="A385" t="s">
        <v>423</v>
      </c>
      <c r="B385" s="2">
        <v>46109</v>
      </c>
      <c r="C385" t="s">
        <v>19</v>
      </c>
      <c r="D385" t="s">
        <v>24</v>
      </c>
      <c r="E385" t="s">
        <v>56</v>
      </c>
      <c r="F385" t="s">
        <v>47</v>
      </c>
      <c r="G385">
        <v>1</v>
      </c>
      <c r="H385" s="3">
        <v>66.22</v>
      </c>
      <c r="I385" s="4">
        <v>0.05</v>
      </c>
      <c r="J385" s="3">
        <v>29.3</v>
      </c>
      <c r="K385" s="3">
        <f t="shared" si="15"/>
        <v>62.908999999999999</v>
      </c>
      <c r="L385" s="3">
        <f t="shared" si="16"/>
        <v>33.608999999999995</v>
      </c>
      <c r="M385" s="5">
        <f t="shared" si="17"/>
        <v>0.53424788186110084</v>
      </c>
    </row>
    <row r="386" spans="1:13">
      <c r="A386" t="s">
        <v>424</v>
      </c>
      <c r="B386" s="2">
        <v>46063</v>
      </c>
      <c r="C386" t="s">
        <v>14</v>
      </c>
      <c r="D386" t="s">
        <v>15</v>
      </c>
      <c r="E386" t="s">
        <v>16</v>
      </c>
      <c r="F386" t="s">
        <v>17</v>
      </c>
      <c r="G386">
        <v>4</v>
      </c>
      <c r="H386" s="3">
        <v>70.69</v>
      </c>
      <c r="I386" s="4">
        <v>0.05</v>
      </c>
      <c r="J386" s="3">
        <v>32.840000000000003</v>
      </c>
      <c r="K386" s="3">
        <f t="shared" ref="K386:K449" si="18">G386*H386*(1-I386)</f>
        <v>268.62199999999996</v>
      </c>
      <c r="L386" s="3">
        <f t="shared" ref="L386:L449" si="19">K386-(G386*J386)</f>
        <v>137.26199999999994</v>
      </c>
      <c r="M386" s="5">
        <f t="shared" ref="M386:M449" si="20">IFERROR(L386/K386,0)</f>
        <v>0.51098569737400501</v>
      </c>
    </row>
    <row r="387" spans="1:13">
      <c r="A387" t="s">
        <v>425</v>
      </c>
      <c r="B387" s="2">
        <v>46090</v>
      </c>
      <c r="C387" t="s">
        <v>19</v>
      </c>
      <c r="D387" t="s">
        <v>15</v>
      </c>
      <c r="E387" t="s">
        <v>16</v>
      </c>
      <c r="F387" t="s">
        <v>22</v>
      </c>
      <c r="G387">
        <v>2</v>
      </c>
      <c r="H387" s="3">
        <v>70.8</v>
      </c>
      <c r="I387" s="4">
        <v>0</v>
      </c>
      <c r="J387" s="3">
        <v>32.700000000000003</v>
      </c>
      <c r="K387" s="3">
        <f t="shared" si="18"/>
        <v>141.6</v>
      </c>
      <c r="L387" s="3">
        <f t="shared" si="19"/>
        <v>76.199999999999989</v>
      </c>
      <c r="M387" s="5">
        <f t="shared" si="20"/>
        <v>0.53813559322033888</v>
      </c>
    </row>
    <row r="388" spans="1:13">
      <c r="A388" t="s">
        <v>426</v>
      </c>
      <c r="B388" s="2">
        <v>46036</v>
      </c>
      <c r="C388" t="s">
        <v>27</v>
      </c>
      <c r="D388" t="s">
        <v>24</v>
      </c>
      <c r="E388" t="s">
        <v>25</v>
      </c>
      <c r="F388" t="s">
        <v>28</v>
      </c>
      <c r="G388">
        <v>5</v>
      </c>
      <c r="H388" s="3">
        <v>182.93</v>
      </c>
      <c r="I388" s="4">
        <v>0.15</v>
      </c>
      <c r="J388" s="3">
        <v>110.44</v>
      </c>
      <c r="K388" s="3">
        <f t="shared" si="18"/>
        <v>777.4525000000001</v>
      </c>
      <c r="L388" s="3">
        <f t="shared" si="19"/>
        <v>225.25250000000005</v>
      </c>
      <c r="M388" s="5">
        <f t="shared" si="20"/>
        <v>0.28973152700647309</v>
      </c>
    </row>
    <row r="389" spans="1:13">
      <c r="A389" t="s">
        <v>427</v>
      </c>
      <c r="B389" s="2">
        <v>46029</v>
      </c>
      <c r="C389" t="s">
        <v>14</v>
      </c>
      <c r="D389" t="s">
        <v>15</v>
      </c>
      <c r="E389" t="s">
        <v>16</v>
      </c>
      <c r="F389" t="s">
        <v>47</v>
      </c>
      <c r="G389">
        <v>8</v>
      </c>
      <c r="H389" s="3">
        <v>69.14</v>
      </c>
      <c r="I389" s="4">
        <v>0.15</v>
      </c>
      <c r="J389" s="3">
        <v>32</v>
      </c>
      <c r="K389" s="3">
        <f t="shared" si="18"/>
        <v>470.15199999999999</v>
      </c>
      <c r="L389" s="3">
        <f t="shared" si="19"/>
        <v>214.15199999999999</v>
      </c>
      <c r="M389" s="5">
        <f t="shared" si="20"/>
        <v>0.45549524409127262</v>
      </c>
    </row>
    <row r="390" spans="1:13">
      <c r="A390" t="s">
        <v>428</v>
      </c>
      <c r="B390" s="2">
        <v>46252</v>
      </c>
      <c r="C390" t="s">
        <v>19</v>
      </c>
      <c r="D390" t="s">
        <v>20</v>
      </c>
      <c r="E390" t="s">
        <v>37</v>
      </c>
      <c r="F390" t="s">
        <v>47</v>
      </c>
      <c r="G390">
        <v>7</v>
      </c>
      <c r="H390" s="3">
        <v>301.51</v>
      </c>
      <c r="I390" s="4">
        <v>0</v>
      </c>
      <c r="J390" s="3">
        <v>179.72</v>
      </c>
      <c r="K390" s="3">
        <f t="shared" si="18"/>
        <v>2110.5699999999997</v>
      </c>
      <c r="L390" s="3">
        <f t="shared" si="19"/>
        <v>852.52999999999975</v>
      </c>
      <c r="M390" s="5">
        <f t="shared" si="20"/>
        <v>0.40393353454280118</v>
      </c>
    </row>
    <row r="391" spans="1:13">
      <c r="A391" t="s">
        <v>429</v>
      </c>
      <c r="B391" s="2">
        <v>46034</v>
      </c>
      <c r="C391" t="s">
        <v>14</v>
      </c>
      <c r="D391" t="s">
        <v>24</v>
      </c>
      <c r="E391" t="s">
        <v>45</v>
      </c>
      <c r="F391" t="s">
        <v>43</v>
      </c>
      <c r="G391">
        <v>4</v>
      </c>
      <c r="H391" s="3">
        <v>126.35</v>
      </c>
      <c r="I391" s="4">
        <v>0.15</v>
      </c>
      <c r="J391" s="3">
        <v>71.099999999999994</v>
      </c>
      <c r="K391" s="3">
        <f t="shared" si="18"/>
        <v>429.59</v>
      </c>
      <c r="L391" s="3">
        <f t="shared" si="19"/>
        <v>145.19</v>
      </c>
      <c r="M391" s="5">
        <f t="shared" si="20"/>
        <v>0.33797341651341978</v>
      </c>
    </row>
    <row r="392" spans="1:13">
      <c r="A392" t="s">
        <v>430</v>
      </c>
      <c r="B392" s="2">
        <v>46193</v>
      </c>
      <c r="C392" t="s">
        <v>14</v>
      </c>
      <c r="D392" t="s">
        <v>15</v>
      </c>
      <c r="E392" t="s">
        <v>32</v>
      </c>
      <c r="F392" t="s">
        <v>47</v>
      </c>
      <c r="G392">
        <v>7</v>
      </c>
      <c r="H392" s="3">
        <v>96.24</v>
      </c>
      <c r="I392" s="4">
        <v>0.2</v>
      </c>
      <c r="J392" s="3">
        <v>48.37</v>
      </c>
      <c r="K392" s="3">
        <f t="shared" si="18"/>
        <v>538.94399999999996</v>
      </c>
      <c r="L392" s="3">
        <f t="shared" si="19"/>
        <v>200.35399999999998</v>
      </c>
      <c r="M392" s="5">
        <f t="shared" si="20"/>
        <v>0.37175290939318373</v>
      </c>
    </row>
    <row r="393" spans="1:13">
      <c r="A393" t="s">
        <v>431</v>
      </c>
      <c r="B393" s="2">
        <v>46232</v>
      </c>
      <c r="C393" t="s">
        <v>27</v>
      </c>
      <c r="D393" t="s">
        <v>24</v>
      </c>
      <c r="E393" t="s">
        <v>56</v>
      </c>
      <c r="F393" t="s">
        <v>43</v>
      </c>
      <c r="G393">
        <v>4</v>
      </c>
      <c r="H393" s="3">
        <v>62.86</v>
      </c>
      <c r="I393" s="4">
        <v>0.05</v>
      </c>
      <c r="J393" s="3">
        <v>29.73</v>
      </c>
      <c r="K393" s="3">
        <f t="shared" si="18"/>
        <v>238.86799999999999</v>
      </c>
      <c r="L393" s="3">
        <f t="shared" si="19"/>
        <v>119.94799999999999</v>
      </c>
      <c r="M393" s="5">
        <f t="shared" si="20"/>
        <v>0.50215181606577686</v>
      </c>
    </row>
    <row r="394" spans="1:13">
      <c r="A394" t="s">
        <v>432</v>
      </c>
      <c r="B394" s="2">
        <v>46031</v>
      </c>
      <c r="C394" t="s">
        <v>27</v>
      </c>
      <c r="D394" t="s">
        <v>39</v>
      </c>
      <c r="E394" t="s">
        <v>65</v>
      </c>
      <c r="F394" t="s">
        <v>22</v>
      </c>
      <c r="G394">
        <v>8</v>
      </c>
      <c r="H394" s="3">
        <v>230.69</v>
      </c>
      <c r="I394" s="4">
        <v>0</v>
      </c>
      <c r="J394" s="3">
        <v>133.72</v>
      </c>
      <c r="K394" s="3">
        <f t="shared" si="18"/>
        <v>1845.52</v>
      </c>
      <c r="L394" s="3">
        <f t="shared" si="19"/>
        <v>775.76</v>
      </c>
      <c r="M394" s="5">
        <f t="shared" si="20"/>
        <v>0.42034765269409163</v>
      </c>
    </row>
    <row r="395" spans="1:13">
      <c r="A395" t="s">
        <v>433</v>
      </c>
      <c r="B395" s="2">
        <v>46055</v>
      </c>
      <c r="C395" t="s">
        <v>14</v>
      </c>
      <c r="D395" t="s">
        <v>20</v>
      </c>
      <c r="E395" t="s">
        <v>37</v>
      </c>
      <c r="F395" t="s">
        <v>17</v>
      </c>
      <c r="G395">
        <v>7</v>
      </c>
      <c r="H395" s="3">
        <v>299.87</v>
      </c>
      <c r="I395" s="4">
        <v>0</v>
      </c>
      <c r="J395" s="3">
        <v>177.73</v>
      </c>
      <c r="K395" s="3">
        <f t="shared" si="18"/>
        <v>2099.09</v>
      </c>
      <c r="L395" s="3">
        <f t="shared" si="19"/>
        <v>854.98000000000025</v>
      </c>
      <c r="M395" s="5">
        <f t="shared" si="20"/>
        <v>0.4073098342615134</v>
      </c>
    </row>
    <row r="396" spans="1:13">
      <c r="A396" t="s">
        <v>434</v>
      </c>
      <c r="B396" s="2">
        <v>46089</v>
      </c>
      <c r="C396" t="s">
        <v>14</v>
      </c>
      <c r="D396" t="s">
        <v>20</v>
      </c>
      <c r="E396" t="s">
        <v>21</v>
      </c>
      <c r="F396" t="s">
        <v>17</v>
      </c>
      <c r="G396">
        <v>7</v>
      </c>
      <c r="H396" s="3">
        <v>1211.6199999999999</v>
      </c>
      <c r="I396" s="4">
        <v>0.05</v>
      </c>
      <c r="J396" s="3">
        <v>869.41</v>
      </c>
      <c r="K396" s="3">
        <f t="shared" si="18"/>
        <v>8057.2730000000001</v>
      </c>
      <c r="L396" s="3">
        <f t="shared" si="19"/>
        <v>1971.4030000000002</v>
      </c>
      <c r="M396" s="5">
        <f t="shared" si="20"/>
        <v>0.24467372521695618</v>
      </c>
    </row>
    <row r="397" spans="1:13">
      <c r="A397" t="s">
        <v>435</v>
      </c>
      <c r="B397" s="2">
        <v>46140</v>
      </c>
      <c r="C397" t="s">
        <v>60</v>
      </c>
      <c r="D397" t="s">
        <v>20</v>
      </c>
      <c r="E397" t="s">
        <v>37</v>
      </c>
      <c r="F397" t="s">
        <v>17</v>
      </c>
      <c r="G397">
        <v>7</v>
      </c>
      <c r="H397" s="3">
        <v>282.31</v>
      </c>
      <c r="I397" s="4">
        <v>0</v>
      </c>
      <c r="J397" s="3">
        <v>181.5</v>
      </c>
      <c r="K397" s="3">
        <f t="shared" si="18"/>
        <v>1976.17</v>
      </c>
      <c r="L397" s="3">
        <f t="shared" si="19"/>
        <v>705.67000000000007</v>
      </c>
      <c r="M397" s="5">
        <f t="shared" si="20"/>
        <v>0.35708972406220113</v>
      </c>
    </row>
    <row r="398" spans="1:13">
      <c r="A398" t="s">
        <v>436</v>
      </c>
      <c r="B398" s="2">
        <v>46217</v>
      </c>
      <c r="C398" t="s">
        <v>60</v>
      </c>
      <c r="D398" t="s">
        <v>20</v>
      </c>
      <c r="E398" t="s">
        <v>21</v>
      </c>
      <c r="F398" t="s">
        <v>47</v>
      </c>
      <c r="G398">
        <v>2</v>
      </c>
      <c r="H398" s="3">
        <v>1245.69</v>
      </c>
      <c r="I398" s="4">
        <v>0.1</v>
      </c>
      <c r="J398" s="3">
        <v>870.41</v>
      </c>
      <c r="K398" s="3">
        <f t="shared" si="18"/>
        <v>2242.2420000000002</v>
      </c>
      <c r="L398" s="3">
        <f t="shared" si="19"/>
        <v>501.42200000000025</v>
      </c>
      <c r="M398" s="5">
        <f t="shared" si="20"/>
        <v>0.22362528219523148</v>
      </c>
    </row>
    <row r="399" spans="1:13">
      <c r="A399" t="s">
        <v>437</v>
      </c>
      <c r="B399" s="2">
        <v>46090</v>
      </c>
      <c r="C399" t="s">
        <v>27</v>
      </c>
      <c r="D399" t="s">
        <v>24</v>
      </c>
      <c r="E399" t="s">
        <v>56</v>
      </c>
      <c r="F399" t="s">
        <v>17</v>
      </c>
      <c r="G399">
        <v>8</v>
      </c>
      <c r="H399" s="3">
        <v>64.010000000000005</v>
      </c>
      <c r="I399" s="4">
        <v>0</v>
      </c>
      <c r="J399" s="3">
        <v>28.63</v>
      </c>
      <c r="K399" s="3">
        <f t="shared" si="18"/>
        <v>512.08000000000004</v>
      </c>
      <c r="L399" s="3">
        <f t="shared" si="19"/>
        <v>283.04000000000008</v>
      </c>
      <c r="M399" s="5">
        <f t="shared" si="20"/>
        <v>0.55272613654116554</v>
      </c>
    </row>
    <row r="400" spans="1:13">
      <c r="A400" t="s">
        <v>438</v>
      </c>
      <c r="B400" s="2">
        <v>46197</v>
      </c>
      <c r="C400" t="s">
        <v>19</v>
      </c>
      <c r="D400" t="s">
        <v>20</v>
      </c>
      <c r="E400" t="s">
        <v>35</v>
      </c>
      <c r="F400" t="s">
        <v>33</v>
      </c>
      <c r="G400">
        <v>6</v>
      </c>
      <c r="H400" s="3">
        <v>33.76</v>
      </c>
      <c r="I400" s="4">
        <v>0.1</v>
      </c>
      <c r="J400" s="3">
        <v>16.059999999999999</v>
      </c>
      <c r="K400" s="3">
        <f t="shared" si="18"/>
        <v>182.304</v>
      </c>
      <c r="L400" s="3">
        <f t="shared" si="19"/>
        <v>85.944000000000017</v>
      </c>
      <c r="M400" s="5">
        <f t="shared" si="20"/>
        <v>0.47143233280674046</v>
      </c>
    </row>
    <row r="401" spans="1:13">
      <c r="A401" t="s">
        <v>439</v>
      </c>
      <c r="B401" s="2">
        <v>46252</v>
      </c>
      <c r="C401" t="s">
        <v>27</v>
      </c>
      <c r="D401" t="s">
        <v>15</v>
      </c>
      <c r="E401" t="s">
        <v>82</v>
      </c>
      <c r="F401" t="s">
        <v>28</v>
      </c>
      <c r="G401">
        <v>5</v>
      </c>
      <c r="H401" s="3">
        <v>85.36</v>
      </c>
      <c r="I401" s="4">
        <v>0</v>
      </c>
      <c r="J401" s="3">
        <v>42.62</v>
      </c>
      <c r="K401" s="3">
        <f t="shared" si="18"/>
        <v>426.8</v>
      </c>
      <c r="L401" s="3">
        <f t="shared" si="19"/>
        <v>213.70000000000002</v>
      </c>
      <c r="M401" s="5">
        <f t="shared" si="20"/>
        <v>0.50070290534208062</v>
      </c>
    </row>
    <row r="402" spans="1:13">
      <c r="A402" t="s">
        <v>440</v>
      </c>
      <c r="B402" s="2">
        <v>46245</v>
      </c>
      <c r="C402" t="s">
        <v>14</v>
      </c>
      <c r="D402" t="s">
        <v>15</v>
      </c>
      <c r="E402" t="s">
        <v>32</v>
      </c>
      <c r="F402" t="s">
        <v>17</v>
      </c>
      <c r="G402">
        <v>8</v>
      </c>
      <c r="H402" s="3">
        <v>93.94</v>
      </c>
      <c r="I402" s="4">
        <v>0.1</v>
      </c>
      <c r="J402" s="3">
        <v>48.79</v>
      </c>
      <c r="K402" s="3">
        <f t="shared" si="18"/>
        <v>676.36800000000005</v>
      </c>
      <c r="L402" s="3">
        <f t="shared" si="19"/>
        <v>286.04800000000006</v>
      </c>
      <c r="M402" s="5">
        <f t="shared" si="20"/>
        <v>0.42291770160622627</v>
      </c>
    </row>
    <row r="403" spans="1:13">
      <c r="A403" t="s">
        <v>441</v>
      </c>
      <c r="B403" s="2">
        <v>46188</v>
      </c>
      <c r="C403" t="s">
        <v>14</v>
      </c>
      <c r="D403" t="s">
        <v>24</v>
      </c>
      <c r="E403" t="s">
        <v>25</v>
      </c>
      <c r="F403" t="s">
        <v>28</v>
      </c>
      <c r="G403">
        <v>7</v>
      </c>
      <c r="H403" s="3">
        <v>185.1</v>
      </c>
      <c r="I403" s="4">
        <v>0.1</v>
      </c>
      <c r="J403" s="3">
        <v>112.57</v>
      </c>
      <c r="K403" s="3">
        <f t="shared" si="18"/>
        <v>1166.1300000000001</v>
      </c>
      <c r="L403" s="3">
        <f t="shared" si="19"/>
        <v>378.1400000000001</v>
      </c>
      <c r="M403" s="5">
        <f t="shared" si="20"/>
        <v>0.32426916381535514</v>
      </c>
    </row>
    <row r="404" spans="1:13">
      <c r="A404" t="s">
        <v>442</v>
      </c>
      <c r="B404" s="2">
        <v>46154</v>
      </c>
      <c r="C404" t="s">
        <v>30</v>
      </c>
      <c r="D404" t="s">
        <v>20</v>
      </c>
      <c r="E404" t="s">
        <v>35</v>
      </c>
      <c r="F404" t="s">
        <v>28</v>
      </c>
      <c r="G404">
        <v>7</v>
      </c>
      <c r="H404" s="3">
        <v>36.28</v>
      </c>
      <c r="I404" s="4">
        <v>0</v>
      </c>
      <c r="J404" s="3">
        <v>16.38</v>
      </c>
      <c r="K404" s="3">
        <f t="shared" si="18"/>
        <v>253.96</v>
      </c>
      <c r="L404" s="3">
        <f t="shared" si="19"/>
        <v>139.30000000000001</v>
      </c>
      <c r="M404" s="5">
        <f t="shared" si="20"/>
        <v>0.54851157662624039</v>
      </c>
    </row>
    <row r="405" spans="1:13">
      <c r="A405" t="s">
        <v>443</v>
      </c>
      <c r="B405" s="2">
        <v>46067</v>
      </c>
      <c r="C405" t="s">
        <v>14</v>
      </c>
      <c r="D405" t="s">
        <v>39</v>
      </c>
      <c r="E405" t="s">
        <v>65</v>
      </c>
      <c r="F405" t="s">
        <v>22</v>
      </c>
      <c r="G405">
        <v>4</v>
      </c>
      <c r="H405" s="3">
        <v>212.2</v>
      </c>
      <c r="I405" s="4">
        <v>0</v>
      </c>
      <c r="J405" s="3">
        <v>129.74</v>
      </c>
      <c r="K405" s="3">
        <f t="shared" si="18"/>
        <v>848.8</v>
      </c>
      <c r="L405" s="3">
        <f t="shared" si="19"/>
        <v>329.83999999999992</v>
      </c>
      <c r="M405" s="5">
        <f t="shared" si="20"/>
        <v>0.38859566446748345</v>
      </c>
    </row>
    <row r="406" spans="1:13">
      <c r="A406" t="s">
        <v>444</v>
      </c>
      <c r="B406" s="2">
        <v>46093</v>
      </c>
      <c r="C406" t="s">
        <v>27</v>
      </c>
      <c r="D406" t="s">
        <v>24</v>
      </c>
      <c r="E406" t="s">
        <v>56</v>
      </c>
      <c r="F406" t="s">
        <v>33</v>
      </c>
      <c r="G406">
        <v>7</v>
      </c>
      <c r="H406" s="3">
        <v>63.12</v>
      </c>
      <c r="I406" s="4">
        <v>0.1</v>
      </c>
      <c r="J406" s="3">
        <v>28.46</v>
      </c>
      <c r="K406" s="3">
        <f t="shared" si="18"/>
        <v>397.65600000000001</v>
      </c>
      <c r="L406" s="3">
        <f t="shared" si="19"/>
        <v>198.43600000000001</v>
      </c>
      <c r="M406" s="5">
        <f t="shared" si="20"/>
        <v>0.49901422334882412</v>
      </c>
    </row>
    <row r="407" spans="1:13">
      <c r="A407" t="s">
        <v>445</v>
      </c>
      <c r="B407" s="2">
        <v>46148</v>
      </c>
      <c r="C407" t="s">
        <v>19</v>
      </c>
      <c r="D407" t="s">
        <v>39</v>
      </c>
      <c r="E407" t="s">
        <v>54</v>
      </c>
      <c r="F407" t="s">
        <v>43</v>
      </c>
      <c r="G407">
        <v>6</v>
      </c>
      <c r="H407" s="3">
        <v>434.86</v>
      </c>
      <c r="I407" s="4">
        <v>0</v>
      </c>
      <c r="J407" s="3">
        <v>268.08999999999997</v>
      </c>
      <c r="K407" s="3">
        <f t="shared" si="18"/>
        <v>2609.16</v>
      </c>
      <c r="L407" s="3">
        <f t="shared" si="19"/>
        <v>1000.6199999999999</v>
      </c>
      <c r="M407" s="5">
        <f t="shared" si="20"/>
        <v>0.38350273651290068</v>
      </c>
    </row>
    <row r="408" spans="1:13">
      <c r="A408" t="s">
        <v>446</v>
      </c>
      <c r="B408" s="2">
        <v>46046</v>
      </c>
      <c r="C408" t="s">
        <v>14</v>
      </c>
      <c r="D408" t="s">
        <v>24</v>
      </c>
      <c r="E408" t="s">
        <v>25</v>
      </c>
      <c r="F408" t="s">
        <v>22</v>
      </c>
      <c r="G408">
        <v>3</v>
      </c>
      <c r="H408" s="3">
        <v>185.43</v>
      </c>
      <c r="I408" s="4">
        <v>0.15</v>
      </c>
      <c r="J408" s="3">
        <v>108.98</v>
      </c>
      <c r="K408" s="3">
        <f t="shared" si="18"/>
        <v>472.84649999999993</v>
      </c>
      <c r="L408" s="3">
        <f t="shared" si="19"/>
        <v>145.90649999999994</v>
      </c>
      <c r="M408" s="5">
        <f t="shared" si="20"/>
        <v>0.30857054033391379</v>
      </c>
    </row>
    <row r="409" spans="1:13">
      <c r="A409" t="s">
        <v>447</v>
      </c>
      <c r="B409" s="2">
        <v>46188</v>
      </c>
      <c r="C409" t="s">
        <v>14</v>
      </c>
      <c r="D409" t="s">
        <v>39</v>
      </c>
      <c r="E409" t="s">
        <v>54</v>
      </c>
      <c r="F409" t="s">
        <v>43</v>
      </c>
      <c r="G409">
        <v>7</v>
      </c>
      <c r="H409" s="3">
        <v>435.88</v>
      </c>
      <c r="I409" s="4">
        <v>0.05</v>
      </c>
      <c r="J409" s="3">
        <v>277.66000000000003</v>
      </c>
      <c r="K409" s="3">
        <f t="shared" si="18"/>
        <v>2898.6019999999999</v>
      </c>
      <c r="L409" s="3">
        <f t="shared" si="19"/>
        <v>954.98199999999974</v>
      </c>
      <c r="M409" s="5">
        <f t="shared" si="20"/>
        <v>0.32946296180020568</v>
      </c>
    </row>
    <row r="410" spans="1:13">
      <c r="A410" t="s">
        <v>448</v>
      </c>
      <c r="B410" s="2">
        <v>46025</v>
      </c>
      <c r="C410" t="s">
        <v>27</v>
      </c>
      <c r="D410" t="s">
        <v>39</v>
      </c>
      <c r="E410" t="s">
        <v>40</v>
      </c>
      <c r="F410" t="s">
        <v>33</v>
      </c>
      <c r="G410">
        <v>3</v>
      </c>
      <c r="H410" s="3">
        <v>52.84</v>
      </c>
      <c r="I410" s="4">
        <v>0.1</v>
      </c>
      <c r="J410" s="3">
        <v>23.82</v>
      </c>
      <c r="K410" s="3">
        <f t="shared" si="18"/>
        <v>142.66800000000001</v>
      </c>
      <c r="L410" s="3">
        <f t="shared" si="19"/>
        <v>71.207999999999998</v>
      </c>
      <c r="M410" s="5">
        <f t="shared" si="20"/>
        <v>0.49911683068382534</v>
      </c>
    </row>
    <row r="411" spans="1:13">
      <c r="A411" t="s">
        <v>449</v>
      </c>
      <c r="B411" s="2">
        <v>46205</v>
      </c>
      <c r="C411" t="s">
        <v>60</v>
      </c>
      <c r="D411" t="s">
        <v>15</v>
      </c>
      <c r="E411" t="s">
        <v>82</v>
      </c>
      <c r="F411" t="s">
        <v>33</v>
      </c>
      <c r="G411">
        <v>7</v>
      </c>
      <c r="H411" s="3">
        <v>85.11</v>
      </c>
      <c r="I411" s="4">
        <v>0.15</v>
      </c>
      <c r="J411" s="3">
        <v>41.62</v>
      </c>
      <c r="K411" s="3">
        <f t="shared" si="18"/>
        <v>506.40449999999998</v>
      </c>
      <c r="L411" s="3">
        <f t="shared" si="19"/>
        <v>215.06450000000001</v>
      </c>
      <c r="M411" s="5">
        <f t="shared" si="20"/>
        <v>0.42468915659319778</v>
      </c>
    </row>
    <row r="412" spans="1:13">
      <c r="A412" t="s">
        <v>450</v>
      </c>
      <c r="B412" s="2">
        <v>46196</v>
      </c>
      <c r="C412" t="s">
        <v>27</v>
      </c>
      <c r="D412" t="s">
        <v>24</v>
      </c>
      <c r="E412" t="s">
        <v>56</v>
      </c>
      <c r="F412" t="s">
        <v>33</v>
      </c>
      <c r="G412">
        <v>2</v>
      </c>
      <c r="H412" s="3">
        <v>68.25</v>
      </c>
      <c r="I412" s="4">
        <v>0</v>
      </c>
      <c r="J412" s="3">
        <v>29.82</v>
      </c>
      <c r="K412" s="3">
        <f t="shared" si="18"/>
        <v>136.5</v>
      </c>
      <c r="L412" s="3">
        <f t="shared" si="19"/>
        <v>76.86</v>
      </c>
      <c r="M412" s="5">
        <f t="shared" si="20"/>
        <v>0.56307692307692303</v>
      </c>
    </row>
    <row r="413" spans="1:13">
      <c r="A413" t="s">
        <v>451</v>
      </c>
      <c r="B413" s="2">
        <v>46166</v>
      </c>
      <c r="C413" t="s">
        <v>19</v>
      </c>
      <c r="D413" t="s">
        <v>15</v>
      </c>
      <c r="E413" t="s">
        <v>82</v>
      </c>
      <c r="F413" t="s">
        <v>33</v>
      </c>
      <c r="G413">
        <v>2</v>
      </c>
      <c r="H413" s="3">
        <v>84.17</v>
      </c>
      <c r="I413" s="4">
        <v>0.05</v>
      </c>
      <c r="J413" s="3">
        <v>41.74</v>
      </c>
      <c r="K413" s="3">
        <f t="shared" si="18"/>
        <v>159.923</v>
      </c>
      <c r="L413" s="3">
        <f t="shared" si="19"/>
        <v>76.442999999999998</v>
      </c>
      <c r="M413" s="5">
        <f t="shared" si="20"/>
        <v>0.4779987869162034</v>
      </c>
    </row>
    <row r="414" spans="1:13">
      <c r="A414" t="s">
        <v>452</v>
      </c>
      <c r="B414" s="2">
        <v>46243</v>
      </c>
      <c r="C414" t="s">
        <v>14</v>
      </c>
      <c r="D414" t="s">
        <v>15</v>
      </c>
      <c r="E414" t="s">
        <v>16</v>
      </c>
      <c r="F414" t="s">
        <v>17</v>
      </c>
      <c r="G414">
        <v>3</v>
      </c>
      <c r="H414" s="3">
        <v>68.709999999999994</v>
      </c>
      <c r="I414" s="4">
        <v>0.05</v>
      </c>
      <c r="J414" s="3">
        <v>31.45</v>
      </c>
      <c r="K414" s="3">
        <f t="shared" si="18"/>
        <v>195.8235</v>
      </c>
      <c r="L414" s="3">
        <f t="shared" si="19"/>
        <v>101.4735</v>
      </c>
      <c r="M414" s="5">
        <f t="shared" si="20"/>
        <v>0.51818857287302089</v>
      </c>
    </row>
    <row r="415" spans="1:13">
      <c r="A415" t="s">
        <v>453</v>
      </c>
      <c r="B415" s="2">
        <v>46126</v>
      </c>
      <c r="C415" t="s">
        <v>19</v>
      </c>
      <c r="D415" t="s">
        <v>39</v>
      </c>
      <c r="E415" t="s">
        <v>40</v>
      </c>
      <c r="F415" t="s">
        <v>47</v>
      </c>
      <c r="G415">
        <v>1</v>
      </c>
      <c r="H415" s="3">
        <v>57.74</v>
      </c>
      <c r="I415" s="4">
        <v>0.1</v>
      </c>
      <c r="J415" s="3">
        <v>23.83</v>
      </c>
      <c r="K415" s="3">
        <f t="shared" si="18"/>
        <v>51.966000000000001</v>
      </c>
      <c r="L415" s="3">
        <f t="shared" si="19"/>
        <v>28.136000000000003</v>
      </c>
      <c r="M415" s="5">
        <f t="shared" si="20"/>
        <v>0.54143093561174616</v>
      </c>
    </row>
    <row r="416" spans="1:13">
      <c r="A416" t="s">
        <v>454</v>
      </c>
      <c r="B416" s="2">
        <v>46126</v>
      </c>
      <c r="C416" t="s">
        <v>27</v>
      </c>
      <c r="D416" t="s">
        <v>20</v>
      </c>
      <c r="E416" t="s">
        <v>37</v>
      </c>
      <c r="F416" t="s">
        <v>43</v>
      </c>
      <c r="G416">
        <v>4</v>
      </c>
      <c r="H416" s="3">
        <v>297.02</v>
      </c>
      <c r="I416" s="4">
        <v>0</v>
      </c>
      <c r="J416" s="3">
        <v>182.58</v>
      </c>
      <c r="K416" s="3">
        <f t="shared" si="18"/>
        <v>1188.08</v>
      </c>
      <c r="L416" s="3">
        <f t="shared" si="19"/>
        <v>457.75999999999988</v>
      </c>
      <c r="M416" s="5">
        <f t="shared" si="20"/>
        <v>0.38529391960137355</v>
      </c>
    </row>
    <row r="417" spans="1:13">
      <c r="A417" t="s">
        <v>455</v>
      </c>
      <c r="B417" s="2">
        <v>46223</v>
      </c>
      <c r="C417" t="s">
        <v>27</v>
      </c>
      <c r="D417" t="s">
        <v>15</v>
      </c>
      <c r="E417" t="s">
        <v>32</v>
      </c>
      <c r="F417" t="s">
        <v>22</v>
      </c>
      <c r="G417">
        <v>5</v>
      </c>
      <c r="H417" s="3">
        <v>98.39</v>
      </c>
      <c r="I417" s="4">
        <v>0.15</v>
      </c>
      <c r="J417" s="3">
        <v>49.14</v>
      </c>
      <c r="K417" s="3">
        <f t="shared" si="18"/>
        <v>418.15749999999997</v>
      </c>
      <c r="L417" s="3">
        <f t="shared" si="19"/>
        <v>172.45749999999998</v>
      </c>
      <c r="M417" s="5">
        <f t="shared" si="20"/>
        <v>0.41242235282160428</v>
      </c>
    </row>
    <row r="418" spans="1:13">
      <c r="A418" t="s">
        <v>456</v>
      </c>
      <c r="B418" s="2">
        <v>46098</v>
      </c>
      <c r="C418" t="s">
        <v>14</v>
      </c>
      <c r="D418" t="s">
        <v>39</v>
      </c>
      <c r="E418" t="s">
        <v>40</v>
      </c>
      <c r="F418" t="s">
        <v>43</v>
      </c>
      <c r="G418">
        <v>5</v>
      </c>
      <c r="H418" s="3">
        <v>55.57</v>
      </c>
      <c r="I418" s="4">
        <v>0.1</v>
      </c>
      <c r="J418" s="3">
        <v>24.62</v>
      </c>
      <c r="K418" s="3">
        <f t="shared" si="18"/>
        <v>250.06500000000003</v>
      </c>
      <c r="L418" s="3">
        <f t="shared" si="19"/>
        <v>126.96500000000002</v>
      </c>
      <c r="M418" s="5">
        <f t="shared" si="20"/>
        <v>0.50772799072241215</v>
      </c>
    </row>
    <row r="419" spans="1:13">
      <c r="A419" t="s">
        <v>457</v>
      </c>
      <c r="B419" s="2">
        <v>46253</v>
      </c>
      <c r="C419" t="s">
        <v>14</v>
      </c>
      <c r="D419" t="s">
        <v>20</v>
      </c>
      <c r="E419" t="s">
        <v>21</v>
      </c>
      <c r="F419" t="s">
        <v>33</v>
      </c>
      <c r="G419">
        <v>6</v>
      </c>
      <c r="H419" s="3">
        <v>1246.1099999999999</v>
      </c>
      <c r="I419" s="4">
        <v>0</v>
      </c>
      <c r="J419" s="3">
        <v>850.87</v>
      </c>
      <c r="K419" s="3">
        <f t="shared" si="18"/>
        <v>7476.66</v>
      </c>
      <c r="L419" s="3">
        <f t="shared" si="19"/>
        <v>2371.4399999999996</v>
      </c>
      <c r="M419" s="5">
        <f t="shared" si="20"/>
        <v>0.31717906123857442</v>
      </c>
    </row>
    <row r="420" spans="1:13">
      <c r="A420" t="s">
        <v>458</v>
      </c>
      <c r="B420" s="2">
        <v>46118</v>
      </c>
      <c r="C420" t="s">
        <v>14</v>
      </c>
      <c r="D420" t="s">
        <v>15</v>
      </c>
      <c r="E420" t="s">
        <v>82</v>
      </c>
      <c r="F420" t="s">
        <v>17</v>
      </c>
      <c r="G420">
        <v>2</v>
      </c>
      <c r="H420" s="3">
        <v>88.23</v>
      </c>
      <c r="I420" s="4">
        <v>0.05</v>
      </c>
      <c r="J420" s="3">
        <v>42.39</v>
      </c>
      <c r="K420" s="3">
        <f t="shared" si="18"/>
        <v>167.637</v>
      </c>
      <c r="L420" s="3">
        <f t="shared" si="19"/>
        <v>82.856999999999999</v>
      </c>
      <c r="M420" s="5">
        <f t="shared" si="20"/>
        <v>0.49426439270566758</v>
      </c>
    </row>
    <row r="421" spans="1:13">
      <c r="A421" t="s">
        <v>459</v>
      </c>
      <c r="B421" s="2">
        <v>46041</v>
      </c>
      <c r="C421" t="s">
        <v>27</v>
      </c>
      <c r="D421" t="s">
        <v>39</v>
      </c>
      <c r="E421" t="s">
        <v>40</v>
      </c>
      <c r="F421" t="s">
        <v>28</v>
      </c>
      <c r="G421">
        <v>2</v>
      </c>
      <c r="H421" s="3">
        <v>54.69</v>
      </c>
      <c r="I421" s="4">
        <v>0.15</v>
      </c>
      <c r="J421" s="3">
        <v>23.88</v>
      </c>
      <c r="K421" s="3">
        <f t="shared" si="18"/>
        <v>92.972999999999999</v>
      </c>
      <c r="L421" s="3">
        <f t="shared" si="19"/>
        <v>45.213000000000001</v>
      </c>
      <c r="M421" s="5">
        <f t="shared" si="20"/>
        <v>0.48630247491207124</v>
      </c>
    </row>
    <row r="422" spans="1:13">
      <c r="A422" t="s">
        <v>460</v>
      </c>
      <c r="B422" s="2">
        <v>46245</v>
      </c>
      <c r="C422" t="s">
        <v>30</v>
      </c>
      <c r="D422" t="s">
        <v>39</v>
      </c>
      <c r="E422" t="s">
        <v>65</v>
      </c>
      <c r="F422" t="s">
        <v>47</v>
      </c>
      <c r="G422">
        <v>6</v>
      </c>
      <c r="H422" s="3">
        <v>222.47</v>
      </c>
      <c r="I422" s="4">
        <v>0.05</v>
      </c>
      <c r="J422" s="3">
        <v>133.29</v>
      </c>
      <c r="K422" s="3">
        <f t="shared" si="18"/>
        <v>1268.079</v>
      </c>
      <c r="L422" s="3">
        <f t="shared" si="19"/>
        <v>468.33899999999994</v>
      </c>
      <c r="M422" s="5">
        <f t="shared" si="20"/>
        <v>0.36932951338205267</v>
      </c>
    </row>
    <row r="423" spans="1:13">
      <c r="A423" t="s">
        <v>461</v>
      </c>
      <c r="B423" s="2">
        <v>46059</v>
      </c>
      <c r="C423" t="s">
        <v>14</v>
      </c>
      <c r="D423" t="s">
        <v>39</v>
      </c>
      <c r="E423" t="s">
        <v>65</v>
      </c>
      <c r="F423" t="s">
        <v>28</v>
      </c>
      <c r="G423">
        <v>8</v>
      </c>
      <c r="H423" s="3">
        <v>230.74</v>
      </c>
      <c r="I423" s="4">
        <v>0</v>
      </c>
      <c r="J423" s="3">
        <v>129.44</v>
      </c>
      <c r="K423" s="3">
        <f t="shared" si="18"/>
        <v>1845.92</v>
      </c>
      <c r="L423" s="3">
        <f t="shared" si="19"/>
        <v>810.40000000000009</v>
      </c>
      <c r="M423" s="5">
        <f t="shared" si="20"/>
        <v>0.43902227615497968</v>
      </c>
    </row>
    <row r="424" spans="1:13">
      <c r="A424" t="s">
        <v>462</v>
      </c>
      <c r="B424" s="2">
        <v>46024</v>
      </c>
      <c r="C424" t="s">
        <v>27</v>
      </c>
      <c r="D424" t="s">
        <v>39</v>
      </c>
      <c r="E424" t="s">
        <v>65</v>
      </c>
      <c r="F424" t="s">
        <v>17</v>
      </c>
      <c r="G424">
        <v>3</v>
      </c>
      <c r="H424" s="3">
        <v>226.32</v>
      </c>
      <c r="I424" s="4">
        <v>0.05</v>
      </c>
      <c r="J424" s="3">
        <v>127.97</v>
      </c>
      <c r="K424" s="3">
        <f t="shared" si="18"/>
        <v>645.01200000000006</v>
      </c>
      <c r="L424" s="3">
        <f t="shared" si="19"/>
        <v>261.10200000000009</v>
      </c>
      <c r="M424" s="5">
        <f t="shared" si="20"/>
        <v>0.40480177112983956</v>
      </c>
    </row>
    <row r="425" spans="1:13">
      <c r="A425" t="s">
        <v>463</v>
      </c>
      <c r="B425" s="2">
        <v>46134</v>
      </c>
      <c r="C425" t="s">
        <v>19</v>
      </c>
      <c r="D425" t="s">
        <v>24</v>
      </c>
      <c r="E425" t="s">
        <v>45</v>
      </c>
      <c r="F425" t="s">
        <v>33</v>
      </c>
      <c r="G425">
        <v>8</v>
      </c>
      <c r="H425" s="3">
        <v>120.42</v>
      </c>
      <c r="I425" s="4">
        <v>0.05</v>
      </c>
      <c r="J425" s="3">
        <v>71.28</v>
      </c>
      <c r="K425" s="3">
        <f t="shared" si="18"/>
        <v>915.19200000000001</v>
      </c>
      <c r="L425" s="3">
        <f t="shared" si="19"/>
        <v>344.952</v>
      </c>
      <c r="M425" s="5">
        <f t="shared" si="20"/>
        <v>0.37691763039886711</v>
      </c>
    </row>
    <row r="426" spans="1:13">
      <c r="A426" t="s">
        <v>464</v>
      </c>
      <c r="B426" s="2">
        <v>46026</v>
      </c>
      <c r="C426" t="s">
        <v>60</v>
      </c>
      <c r="D426" t="s">
        <v>39</v>
      </c>
      <c r="E426" t="s">
        <v>65</v>
      </c>
      <c r="F426" t="s">
        <v>33</v>
      </c>
      <c r="G426">
        <v>1</v>
      </c>
      <c r="H426" s="3">
        <v>216.13</v>
      </c>
      <c r="I426" s="4">
        <v>0.1</v>
      </c>
      <c r="J426" s="3">
        <v>131.91</v>
      </c>
      <c r="K426" s="3">
        <f t="shared" si="18"/>
        <v>194.517</v>
      </c>
      <c r="L426" s="3">
        <f t="shared" si="19"/>
        <v>62.606999999999999</v>
      </c>
      <c r="M426" s="5">
        <f t="shared" si="20"/>
        <v>0.32185875784635792</v>
      </c>
    </row>
    <row r="427" spans="1:13">
      <c r="A427" t="s">
        <v>465</v>
      </c>
      <c r="B427" s="2">
        <v>46102</v>
      </c>
      <c r="C427" t="s">
        <v>14</v>
      </c>
      <c r="D427" t="s">
        <v>24</v>
      </c>
      <c r="E427" t="s">
        <v>56</v>
      </c>
      <c r="F427" t="s">
        <v>33</v>
      </c>
      <c r="G427">
        <v>5</v>
      </c>
      <c r="H427" s="3">
        <v>67.22</v>
      </c>
      <c r="I427" s="4">
        <v>0</v>
      </c>
      <c r="J427" s="3">
        <v>28.85</v>
      </c>
      <c r="K427" s="3">
        <f t="shared" si="18"/>
        <v>336.1</v>
      </c>
      <c r="L427" s="3">
        <f t="shared" si="19"/>
        <v>191.85000000000002</v>
      </c>
      <c r="M427" s="5">
        <f t="shared" si="20"/>
        <v>0.57081225825647131</v>
      </c>
    </row>
    <row r="428" spans="1:13">
      <c r="A428" t="s">
        <v>466</v>
      </c>
      <c r="B428" s="2">
        <v>46139</v>
      </c>
      <c r="C428" t="s">
        <v>19</v>
      </c>
      <c r="D428" t="s">
        <v>15</v>
      </c>
      <c r="E428" t="s">
        <v>82</v>
      </c>
      <c r="F428" t="s">
        <v>22</v>
      </c>
      <c r="G428">
        <v>3</v>
      </c>
      <c r="H428" s="3">
        <v>88.5</v>
      </c>
      <c r="I428" s="4">
        <v>0</v>
      </c>
      <c r="J428" s="3">
        <v>41.91</v>
      </c>
      <c r="K428" s="3">
        <f t="shared" si="18"/>
        <v>265.5</v>
      </c>
      <c r="L428" s="3">
        <f t="shared" si="19"/>
        <v>139.77000000000001</v>
      </c>
      <c r="M428" s="5">
        <f t="shared" si="20"/>
        <v>0.52644067796610172</v>
      </c>
    </row>
    <row r="429" spans="1:13">
      <c r="A429" t="s">
        <v>467</v>
      </c>
      <c r="B429" s="2">
        <v>46065</v>
      </c>
      <c r="C429" t="s">
        <v>60</v>
      </c>
      <c r="D429" t="s">
        <v>24</v>
      </c>
      <c r="E429" t="s">
        <v>25</v>
      </c>
      <c r="F429" t="s">
        <v>28</v>
      </c>
      <c r="G429">
        <v>4</v>
      </c>
      <c r="H429" s="3">
        <v>188.76</v>
      </c>
      <c r="I429" s="4">
        <v>0</v>
      </c>
      <c r="J429" s="3">
        <v>108.96</v>
      </c>
      <c r="K429" s="3">
        <f t="shared" si="18"/>
        <v>755.04</v>
      </c>
      <c r="L429" s="3">
        <f t="shared" si="19"/>
        <v>319.2</v>
      </c>
      <c r="M429" s="5">
        <f t="shared" si="20"/>
        <v>0.42275905912269551</v>
      </c>
    </row>
    <row r="430" spans="1:13">
      <c r="A430" t="s">
        <v>468</v>
      </c>
      <c r="B430" s="2">
        <v>46173</v>
      </c>
      <c r="C430" t="s">
        <v>27</v>
      </c>
      <c r="D430" t="s">
        <v>20</v>
      </c>
      <c r="E430" t="s">
        <v>35</v>
      </c>
      <c r="F430" t="s">
        <v>17</v>
      </c>
      <c r="G430">
        <v>1</v>
      </c>
      <c r="H430" s="3">
        <v>35.619999999999997</v>
      </c>
      <c r="I430" s="4">
        <v>0.05</v>
      </c>
      <c r="J430" s="3">
        <v>16.3</v>
      </c>
      <c r="K430" s="3">
        <f t="shared" si="18"/>
        <v>33.838999999999999</v>
      </c>
      <c r="L430" s="3">
        <f t="shared" si="19"/>
        <v>17.538999999999998</v>
      </c>
      <c r="M430" s="5">
        <f t="shared" si="20"/>
        <v>0.51830727858388248</v>
      </c>
    </row>
    <row r="431" spans="1:13">
      <c r="A431" t="s">
        <v>469</v>
      </c>
      <c r="B431" s="2">
        <v>46035</v>
      </c>
      <c r="C431" t="s">
        <v>19</v>
      </c>
      <c r="D431" t="s">
        <v>20</v>
      </c>
      <c r="E431" t="s">
        <v>37</v>
      </c>
      <c r="F431" t="s">
        <v>47</v>
      </c>
      <c r="G431">
        <v>2</v>
      </c>
      <c r="H431" s="3">
        <v>278.92</v>
      </c>
      <c r="I431" s="4">
        <v>0.1</v>
      </c>
      <c r="J431" s="3">
        <v>182.61</v>
      </c>
      <c r="K431" s="3">
        <f t="shared" si="18"/>
        <v>502.05600000000004</v>
      </c>
      <c r="L431" s="3">
        <f t="shared" si="19"/>
        <v>136.83600000000001</v>
      </c>
      <c r="M431" s="5">
        <f t="shared" si="20"/>
        <v>0.27255126918112721</v>
      </c>
    </row>
    <row r="432" spans="1:13">
      <c r="A432" t="s">
        <v>470</v>
      </c>
      <c r="B432" s="2">
        <v>46136</v>
      </c>
      <c r="C432" t="s">
        <v>27</v>
      </c>
      <c r="D432" t="s">
        <v>15</v>
      </c>
      <c r="E432" t="s">
        <v>82</v>
      </c>
      <c r="F432" t="s">
        <v>47</v>
      </c>
      <c r="G432">
        <v>3</v>
      </c>
      <c r="H432" s="3">
        <v>86.85</v>
      </c>
      <c r="I432" s="4">
        <v>0</v>
      </c>
      <c r="J432" s="3">
        <v>41.18</v>
      </c>
      <c r="K432" s="3">
        <f t="shared" si="18"/>
        <v>260.54999999999995</v>
      </c>
      <c r="L432" s="3">
        <f t="shared" si="19"/>
        <v>137.00999999999996</v>
      </c>
      <c r="M432" s="5">
        <f t="shared" si="20"/>
        <v>0.52584916522740355</v>
      </c>
    </row>
    <row r="433" spans="1:13">
      <c r="A433" t="s">
        <v>471</v>
      </c>
      <c r="B433" s="2">
        <v>46192</v>
      </c>
      <c r="C433" t="s">
        <v>14</v>
      </c>
      <c r="D433" t="s">
        <v>15</v>
      </c>
      <c r="E433" t="s">
        <v>32</v>
      </c>
      <c r="F433" t="s">
        <v>17</v>
      </c>
      <c r="G433">
        <v>3</v>
      </c>
      <c r="H433" s="3">
        <v>98.88</v>
      </c>
      <c r="I433" s="4">
        <v>0.05</v>
      </c>
      <c r="J433" s="3">
        <v>48.27</v>
      </c>
      <c r="K433" s="3">
        <f t="shared" si="18"/>
        <v>281.80799999999999</v>
      </c>
      <c r="L433" s="3">
        <f t="shared" si="19"/>
        <v>136.99799999999999</v>
      </c>
      <c r="M433" s="5">
        <f t="shared" si="20"/>
        <v>0.48613949923352068</v>
      </c>
    </row>
    <row r="434" spans="1:13">
      <c r="A434" t="s">
        <v>472</v>
      </c>
      <c r="B434" s="2">
        <v>46053</v>
      </c>
      <c r="C434" t="s">
        <v>14</v>
      </c>
      <c r="D434" t="s">
        <v>20</v>
      </c>
      <c r="E434" t="s">
        <v>35</v>
      </c>
      <c r="F434" t="s">
        <v>22</v>
      </c>
      <c r="G434">
        <v>4</v>
      </c>
      <c r="H434" s="3">
        <v>36.049999999999997</v>
      </c>
      <c r="I434" s="4">
        <v>0.1</v>
      </c>
      <c r="J434" s="3">
        <v>16.350000000000001</v>
      </c>
      <c r="K434" s="3">
        <f t="shared" si="18"/>
        <v>129.78</v>
      </c>
      <c r="L434" s="3">
        <f t="shared" si="19"/>
        <v>64.38</v>
      </c>
      <c r="M434" s="5">
        <f t="shared" si="20"/>
        <v>0.49607027276930188</v>
      </c>
    </row>
    <row r="435" spans="1:13">
      <c r="A435" t="s">
        <v>473</v>
      </c>
      <c r="B435" s="2">
        <v>46114</v>
      </c>
      <c r="C435" t="s">
        <v>19</v>
      </c>
      <c r="D435" t="s">
        <v>15</v>
      </c>
      <c r="E435" t="s">
        <v>16</v>
      </c>
      <c r="F435" t="s">
        <v>47</v>
      </c>
      <c r="G435">
        <v>1</v>
      </c>
      <c r="H435" s="3">
        <v>72.94</v>
      </c>
      <c r="I435" s="4">
        <v>0.05</v>
      </c>
      <c r="J435" s="3">
        <v>32.46</v>
      </c>
      <c r="K435" s="3">
        <f t="shared" si="18"/>
        <v>69.292999999999992</v>
      </c>
      <c r="L435" s="3">
        <f t="shared" si="19"/>
        <v>36.832999999999991</v>
      </c>
      <c r="M435" s="5">
        <f t="shared" si="20"/>
        <v>0.53155441386575841</v>
      </c>
    </row>
    <row r="436" spans="1:13">
      <c r="A436" t="s">
        <v>474</v>
      </c>
      <c r="B436" s="2">
        <v>46107</v>
      </c>
      <c r="C436" t="s">
        <v>14</v>
      </c>
      <c r="D436" t="s">
        <v>20</v>
      </c>
      <c r="E436" t="s">
        <v>37</v>
      </c>
      <c r="F436" t="s">
        <v>22</v>
      </c>
      <c r="G436">
        <v>2</v>
      </c>
      <c r="H436" s="3">
        <v>300.2</v>
      </c>
      <c r="I436" s="4">
        <v>0.15</v>
      </c>
      <c r="J436" s="3">
        <v>182.42</v>
      </c>
      <c r="K436" s="3">
        <f t="shared" si="18"/>
        <v>510.34</v>
      </c>
      <c r="L436" s="3">
        <f t="shared" si="19"/>
        <v>145.5</v>
      </c>
      <c r="M436" s="5">
        <f t="shared" si="20"/>
        <v>0.28510404828153779</v>
      </c>
    </row>
    <row r="437" spans="1:13">
      <c r="A437" t="s">
        <v>475</v>
      </c>
      <c r="B437" s="2">
        <v>46046</v>
      </c>
      <c r="C437" t="s">
        <v>30</v>
      </c>
      <c r="D437" t="s">
        <v>20</v>
      </c>
      <c r="E437" t="s">
        <v>37</v>
      </c>
      <c r="F437" t="s">
        <v>33</v>
      </c>
      <c r="G437">
        <v>2</v>
      </c>
      <c r="H437" s="3">
        <v>295.22000000000003</v>
      </c>
      <c r="I437" s="4">
        <v>0.15</v>
      </c>
      <c r="J437" s="3">
        <v>180.51</v>
      </c>
      <c r="K437" s="3">
        <f t="shared" si="18"/>
        <v>501.87400000000002</v>
      </c>
      <c r="L437" s="3">
        <f t="shared" si="19"/>
        <v>140.85400000000004</v>
      </c>
      <c r="M437" s="5">
        <f t="shared" si="20"/>
        <v>0.28065610093370058</v>
      </c>
    </row>
    <row r="438" spans="1:13">
      <c r="A438" t="s">
        <v>476</v>
      </c>
      <c r="B438" s="2">
        <v>46090</v>
      </c>
      <c r="C438" t="s">
        <v>27</v>
      </c>
      <c r="D438" t="s">
        <v>20</v>
      </c>
      <c r="E438" t="s">
        <v>21</v>
      </c>
      <c r="F438" t="s">
        <v>47</v>
      </c>
      <c r="G438">
        <v>1</v>
      </c>
      <c r="H438" s="3">
        <v>1190.9000000000001</v>
      </c>
      <c r="I438" s="4">
        <v>0.15</v>
      </c>
      <c r="J438" s="3">
        <v>861.76</v>
      </c>
      <c r="K438" s="3">
        <f t="shared" si="18"/>
        <v>1012.2650000000001</v>
      </c>
      <c r="L438" s="3">
        <f t="shared" si="19"/>
        <v>150.50500000000011</v>
      </c>
      <c r="M438" s="5">
        <f t="shared" si="20"/>
        <v>0.14868142235481824</v>
      </c>
    </row>
    <row r="439" spans="1:13">
      <c r="A439" t="s">
        <v>477</v>
      </c>
      <c r="B439" s="2">
        <v>46212</v>
      </c>
      <c r="C439" t="s">
        <v>14</v>
      </c>
      <c r="D439" t="s">
        <v>20</v>
      </c>
      <c r="E439" t="s">
        <v>21</v>
      </c>
      <c r="F439" t="s">
        <v>47</v>
      </c>
      <c r="G439">
        <v>3</v>
      </c>
      <c r="H439" s="3">
        <v>1170.42</v>
      </c>
      <c r="I439" s="4">
        <v>0.1</v>
      </c>
      <c r="J439" s="3">
        <v>848.19</v>
      </c>
      <c r="K439" s="3">
        <f t="shared" si="18"/>
        <v>3160.1340000000005</v>
      </c>
      <c r="L439" s="3">
        <f t="shared" si="19"/>
        <v>615.56400000000031</v>
      </c>
      <c r="M439" s="5">
        <f t="shared" si="20"/>
        <v>0.1947904740748336</v>
      </c>
    </row>
    <row r="440" spans="1:13">
      <c r="A440" t="s">
        <v>478</v>
      </c>
      <c r="B440" s="2">
        <v>46182</v>
      </c>
      <c r="C440" t="s">
        <v>14</v>
      </c>
      <c r="D440" t="s">
        <v>20</v>
      </c>
      <c r="E440" t="s">
        <v>35</v>
      </c>
      <c r="F440" t="s">
        <v>33</v>
      </c>
      <c r="G440">
        <v>6</v>
      </c>
      <c r="H440" s="3">
        <v>34.86</v>
      </c>
      <c r="I440" s="4">
        <v>0</v>
      </c>
      <c r="J440" s="3">
        <v>16.45</v>
      </c>
      <c r="K440" s="3">
        <f t="shared" si="18"/>
        <v>209.16</v>
      </c>
      <c r="L440" s="3">
        <f t="shared" si="19"/>
        <v>110.46000000000001</v>
      </c>
      <c r="M440" s="5">
        <f t="shared" si="20"/>
        <v>0.5281124497991968</v>
      </c>
    </row>
    <row r="441" spans="1:13">
      <c r="A441" t="s">
        <v>479</v>
      </c>
      <c r="B441" s="2">
        <v>46236</v>
      </c>
      <c r="C441" t="s">
        <v>27</v>
      </c>
      <c r="D441" t="s">
        <v>24</v>
      </c>
      <c r="E441" t="s">
        <v>45</v>
      </c>
      <c r="F441" t="s">
        <v>22</v>
      </c>
      <c r="G441">
        <v>3</v>
      </c>
      <c r="H441" s="3">
        <v>127.83</v>
      </c>
      <c r="I441" s="4">
        <v>0</v>
      </c>
      <c r="J441" s="3">
        <v>70.77</v>
      </c>
      <c r="K441" s="3">
        <f t="shared" si="18"/>
        <v>383.49</v>
      </c>
      <c r="L441" s="3">
        <f t="shared" si="19"/>
        <v>171.18</v>
      </c>
      <c r="M441" s="5">
        <f t="shared" si="20"/>
        <v>0.44637409058906363</v>
      </c>
    </row>
    <row r="442" spans="1:13">
      <c r="A442" t="s">
        <v>480</v>
      </c>
      <c r="B442" s="2">
        <v>46049</v>
      </c>
      <c r="C442" t="s">
        <v>27</v>
      </c>
      <c r="D442" t="s">
        <v>24</v>
      </c>
      <c r="E442" t="s">
        <v>56</v>
      </c>
      <c r="F442" t="s">
        <v>28</v>
      </c>
      <c r="G442">
        <v>8</v>
      </c>
      <c r="H442" s="3">
        <v>64.62</v>
      </c>
      <c r="I442" s="4">
        <v>0</v>
      </c>
      <c r="J442" s="3">
        <v>28.94</v>
      </c>
      <c r="K442" s="3">
        <f t="shared" si="18"/>
        <v>516.96</v>
      </c>
      <c r="L442" s="3">
        <f t="shared" si="19"/>
        <v>285.44000000000005</v>
      </c>
      <c r="M442" s="5">
        <f t="shared" si="20"/>
        <v>0.55215103683070266</v>
      </c>
    </row>
    <row r="443" spans="1:13">
      <c r="A443" t="s">
        <v>481</v>
      </c>
      <c r="B443" s="2">
        <v>46243</v>
      </c>
      <c r="C443" t="s">
        <v>19</v>
      </c>
      <c r="D443" t="s">
        <v>39</v>
      </c>
      <c r="E443" t="s">
        <v>54</v>
      </c>
      <c r="F443" t="s">
        <v>33</v>
      </c>
      <c r="G443">
        <v>8</v>
      </c>
      <c r="H443" s="3">
        <v>418.75</v>
      </c>
      <c r="I443" s="4">
        <v>0</v>
      </c>
      <c r="J443" s="3">
        <v>265.22000000000003</v>
      </c>
      <c r="K443" s="3">
        <f t="shared" si="18"/>
        <v>3350</v>
      </c>
      <c r="L443" s="3">
        <f t="shared" si="19"/>
        <v>1228.2399999999998</v>
      </c>
      <c r="M443" s="5">
        <f t="shared" si="20"/>
        <v>0.3666388059701492</v>
      </c>
    </row>
    <row r="444" spans="1:13">
      <c r="A444" t="s">
        <v>482</v>
      </c>
      <c r="B444" s="2">
        <v>46190</v>
      </c>
      <c r="C444" t="s">
        <v>14</v>
      </c>
      <c r="D444" t="s">
        <v>39</v>
      </c>
      <c r="E444" t="s">
        <v>40</v>
      </c>
      <c r="F444" t="s">
        <v>47</v>
      </c>
      <c r="G444">
        <v>6</v>
      </c>
      <c r="H444" s="3">
        <v>56.21</v>
      </c>
      <c r="I444" s="4">
        <v>0.05</v>
      </c>
      <c r="J444" s="3">
        <v>24.26</v>
      </c>
      <c r="K444" s="3">
        <f t="shared" si="18"/>
        <v>320.39699999999999</v>
      </c>
      <c r="L444" s="3">
        <f t="shared" si="19"/>
        <v>174.83699999999999</v>
      </c>
      <c r="M444" s="5">
        <f t="shared" si="20"/>
        <v>0.54568863004335244</v>
      </c>
    </row>
    <row r="445" spans="1:13">
      <c r="A445" t="s">
        <v>483</v>
      </c>
      <c r="B445" s="2">
        <v>46192</v>
      </c>
      <c r="C445" t="s">
        <v>19</v>
      </c>
      <c r="D445" t="s">
        <v>24</v>
      </c>
      <c r="E445" t="s">
        <v>45</v>
      </c>
      <c r="F445" t="s">
        <v>17</v>
      </c>
      <c r="G445">
        <v>7</v>
      </c>
      <c r="H445" s="3">
        <v>129.30000000000001</v>
      </c>
      <c r="I445" s="4">
        <v>0</v>
      </c>
      <c r="J445" s="3">
        <v>73.77</v>
      </c>
      <c r="K445" s="3">
        <f t="shared" si="18"/>
        <v>905.10000000000014</v>
      </c>
      <c r="L445" s="3">
        <f t="shared" si="19"/>
        <v>388.71000000000015</v>
      </c>
      <c r="M445" s="5">
        <f t="shared" si="20"/>
        <v>0.42946635730858479</v>
      </c>
    </row>
    <row r="446" spans="1:13">
      <c r="A446" t="s">
        <v>484</v>
      </c>
      <c r="B446" s="2">
        <v>46036</v>
      </c>
      <c r="C446" t="s">
        <v>14</v>
      </c>
      <c r="D446" t="s">
        <v>39</v>
      </c>
      <c r="E446" t="s">
        <v>40</v>
      </c>
      <c r="F446" t="s">
        <v>47</v>
      </c>
      <c r="G446">
        <v>8</v>
      </c>
      <c r="H446" s="3">
        <v>57.1</v>
      </c>
      <c r="I446" s="4">
        <v>0.15</v>
      </c>
      <c r="J446" s="3">
        <v>23.61</v>
      </c>
      <c r="K446" s="3">
        <f t="shared" si="18"/>
        <v>388.28</v>
      </c>
      <c r="L446" s="3">
        <f t="shared" si="19"/>
        <v>199.39999999999998</v>
      </c>
      <c r="M446" s="5">
        <f t="shared" si="20"/>
        <v>0.513546924899557</v>
      </c>
    </row>
    <row r="447" spans="1:13">
      <c r="A447" t="s">
        <v>485</v>
      </c>
      <c r="B447" s="2">
        <v>46105</v>
      </c>
      <c r="C447" t="s">
        <v>14</v>
      </c>
      <c r="D447" t="s">
        <v>15</v>
      </c>
      <c r="E447" t="s">
        <v>16</v>
      </c>
      <c r="F447" t="s">
        <v>28</v>
      </c>
      <c r="G447">
        <v>4</v>
      </c>
      <c r="H447" s="3">
        <v>69.59</v>
      </c>
      <c r="I447" s="4">
        <v>0.05</v>
      </c>
      <c r="J447" s="3">
        <v>32.67</v>
      </c>
      <c r="K447" s="3">
        <f t="shared" si="18"/>
        <v>264.44200000000001</v>
      </c>
      <c r="L447" s="3">
        <f t="shared" si="19"/>
        <v>133.762</v>
      </c>
      <c r="M447" s="5">
        <f t="shared" si="20"/>
        <v>0.50582736479076695</v>
      </c>
    </row>
    <row r="448" spans="1:13">
      <c r="A448" t="s">
        <v>486</v>
      </c>
      <c r="B448" s="2">
        <v>46140</v>
      </c>
      <c r="C448" t="s">
        <v>27</v>
      </c>
      <c r="D448" t="s">
        <v>24</v>
      </c>
      <c r="E448" t="s">
        <v>25</v>
      </c>
      <c r="F448" t="s">
        <v>43</v>
      </c>
      <c r="G448">
        <v>8</v>
      </c>
      <c r="H448" s="3">
        <v>174.72</v>
      </c>
      <c r="I448" s="4">
        <v>0.05</v>
      </c>
      <c r="J448" s="3">
        <v>110.54</v>
      </c>
      <c r="K448" s="3">
        <f t="shared" si="18"/>
        <v>1327.8719999999998</v>
      </c>
      <c r="L448" s="3">
        <f t="shared" si="19"/>
        <v>443.55199999999979</v>
      </c>
      <c r="M448" s="5">
        <f t="shared" si="20"/>
        <v>0.334032195874301</v>
      </c>
    </row>
    <row r="449" spans="1:13">
      <c r="A449" t="s">
        <v>487</v>
      </c>
      <c r="B449" s="2">
        <v>46027</v>
      </c>
      <c r="C449" t="s">
        <v>14</v>
      </c>
      <c r="D449" t="s">
        <v>24</v>
      </c>
      <c r="E449" t="s">
        <v>25</v>
      </c>
      <c r="F449" t="s">
        <v>43</v>
      </c>
      <c r="G449">
        <v>1</v>
      </c>
      <c r="H449" s="3">
        <v>185.63</v>
      </c>
      <c r="I449" s="4">
        <v>0.15</v>
      </c>
      <c r="J449" s="3">
        <v>113.1</v>
      </c>
      <c r="K449" s="3">
        <f t="shared" si="18"/>
        <v>157.78549999999998</v>
      </c>
      <c r="L449" s="3">
        <f t="shared" si="19"/>
        <v>44.68549999999999</v>
      </c>
      <c r="M449" s="5">
        <f t="shared" si="20"/>
        <v>0.28320409670090085</v>
      </c>
    </row>
    <row r="450" spans="1:13">
      <c r="A450" t="s">
        <v>488</v>
      </c>
      <c r="B450" s="2">
        <v>46100</v>
      </c>
      <c r="C450" t="s">
        <v>60</v>
      </c>
      <c r="D450" t="s">
        <v>39</v>
      </c>
      <c r="E450" t="s">
        <v>40</v>
      </c>
      <c r="F450" t="s">
        <v>22</v>
      </c>
      <c r="G450">
        <v>8</v>
      </c>
      <c r="H450" s="3">
        <v>54.6</v>
      </c>
      <c r="I450" s="4">
        <v>0.2</v>
      </c>
      <c r="J450" s="3">
        <v>23.59</v>
      </c>
      <c r="K450" s="3">
        <f t="shared" ref="K450:K501" si="21">G450*H450*(1-I450)</f>
        <v>349.44000000000005</v>
      </c>
      <c r="L450" s="3">
        <f t="shared" ref="L450:L513" si="22">K450-(G450*J450)</f>
        <v>160.72000000000006</v>
      </c>
      <c r="M450" s="5">
        <f t="shared" ref="M450:M513" si="23">IFERROR(L450/K450,0)</f>
        <v>0.45993589743589752</v>
      </c>
    </row>
    <row r="451" spans="1:13">
      <c r="A451" t="s">
        <v>489</v>
      </c>
      <c r="B451" s="2">
        <v>46239</v>
      </c>
      <c r="C451" t="s">
        <v>27</v>
      </c>
      <c r="D451" t="s">
        <v>24</v>
      </c>
      <c r="E451" t="s">
        <v>56</v>
      </c>
      <c r="F451" t="s">
        <v>22</v>
      </c>
      <c r="G451">
        <v>6</v>
      </c>
      <c r="H451" s="3">
        <v>63.07</v>
      </c>
      <c r="I451" s="4">
        <v>0.1</v>
      </c>
      <c r="J451" s="3">
        <v>29.52</v>
      </c>
      <c r="K451" s="3">
        <f t="shared" si="21"/>
        <v>340.57800000000003</v>
      </c>
      <c r="L451" s="3">
        <f t="shared" si="22"/>
        <v>163.45800000000003</v>
      </c>
      <c r="M451" s="5">
        <f t="shared" si="23"/>
        <v>0.47994292056445226</v>
      </c>
    </row>
    <row r="452" spans="1:13">
      <c r="A452" t="s">
        <v>490</v>
      </c>
      <c r="B452" s="2">
        <v>46023</v>
      </c>
      <c r="C452" t="s">
        <v>14</v>
      </c>
      <c r="D452" t="s">
        <v>15</v>
      </c>
      <c r="E452" t="s">
        <v>32</v>
      </c>
      <c r="F452" t="s">
        <v>22</v>
      </c>
      <c r="G452">
        <v>6</v>
      </c>
      <c r="H452" s="3">
        <v>91.59</v>
      </c>
      <c r="I452" s="4">
        <v>0.1</v>
      </c>
      <c r="J452" s="3">
        <v>47.43</v>
      </c>
      <c r="K452" s="3">
        <f t="shared" si="21"/>
        <v>494.58599999999996</v>
      </c>
      <c r="L452" s="3">
        <f t="shared" si="22"/>
        <v>210.00599999999997</v>
      </c>
      <c r="M452" s="5">
        <f t="shared" si="23"/>
        <v>0.42460967354514684</v>
      </c>
    </row>
    <row r="453" spans="1:13">
      <c r="A453" t="s">
        <v>491</v>
      </c>
      <c r="B453" s="2">
        <v>46233</v>
      </c>
      <c r="C453" t="s">
        <v>19</v>
      </c>
      <c r="D453" t="s">
        <v>24</v>
      </c>
      <c r="E453" t="s">
        <v>25</v>
      </c>
      <c r="F453" t="s">
        <v>47</v>
      </c>
      <c r="G453">
        <v>5</v>
      </c>
      <c r="H453" s="3">
        <v>175.84</v>
      </c>
      <c r="I453" s="4">
        <v>0.1</v>
      </c>
      <c r="J453" s="3">
        <v>112.92</v>
      </c>
      <c r="K453" s="3">
        <f t="shared" si="21"/>
        <v>791.28000000000009</v>
      </c>
      <c r="L453" s="3">
        <f t="shared" si="22"/>
        <v>226.68000000000006</v>
      </c>
      <c r="M453" s="5">
        <f t="shared" si="23"/>
        <v>0.28647255080376105</v>
      </c>
    </row>
    <row r="454" spans="1:13">
      <c r="A454" t="s">
        <v>492</v>
      </c>
      <c r="B454" s="2">
        <v>46078</v>
      </c>
      <c r="C454" t="s">
        <v>27</v>
      </c>
      <c r="D454" t="s">
        <v>39</v>
      </c>
      <c r="E454" t="s">
        <v>40</v>
      </c>
      <c r="F454" t="s">
        <v>43</v>
      </c>
      <c r="G454">
        <v>6</v>
      </c>
      <c r="H454" s="3">
        <v>54.85</v>
      </c>
      <c r="I454" s="4">
        <v>0</v>
      </c>
      <c r="J454" s="3">
        <v>24.63</v>
      </c>
      <c r="K454" s="3">
        <f t="shared" si="21"/>
        <v>329.1</v>
      </c>
      <c r="L454" s="3">
        <f t="shared" si="22"/>
        <v>181.32000000000002</v>
      </c>
      <c r="M454" s="5">
        <f t="shared" si="23"/>
        <v>0.55095715587967187</v>
      </c>
    </row>
    <row r="455" spans="1:13">
      <c r="A455" t="s">
        <v>493</v>
      </c>
      <c r="B455" s="2">
        <v>46173</v>
      </c>
      <c r="C455" t="s">
        <v>14</v>
      </c>
      <c r="D455" t="s">
        <v>24</v>
      </c>
      <c r="E455" t="s">
        <v>45</v>
      </c>
      <c r="F455" t="s">
        <v>17</v>
      </c>
      <c r="G455">
        <v>3</v>
      </c>
      <c r="H455" s="3">
        <v>120.05</v>
      </c>
      <c r="I455" s="4">
        <v>0.2</v>
      </c>
      <c r="J455" s="3">
        <v>73.209999999999994</v>
      </c>
      <c r="K455" s="3">
        <f t="shared" si="21"/>
        <v>288.12</v>
      </c>
      <c r="L455" s="3">
        <f t="shared" si="22"/>
        <v>68.490000000000009</v>
      </c>
      <c r="M455" s="5">
        <f t="shared" si="23"/>
        <v>0.23771345272803002</v>
      </c>
    </row>
    <row r="456" spans="1:13">
      <c r="A456" t="s">
        <v>494</v>
      </c>
      <c r="B456" s="2">
        <v>46262</v>
      </c>
      <c r="C456" t="s">
        <v>27</v>
      </c>
      <c r="D456" t="s">
        <v>24</v>
      </c>
      <c r="E456" t="s">
        <v>56</v>
      </c>
      <c r="F456" t="s">
        <v>28</v>
      </c>
      <c r="G456">
        <v>3</v>
      </c>
      <c r="H456" s="3">
        <v>63.42</v>
      </c>
      <c r="I456" s="4">
        <v>0.1</v>
      </c>
      <c r="J456" s="3">
        <v>29.6</v>
      </c>
      <c r="K456" s="3">
        <f t="shared" si="21"/>
        <v>171.23400000000001</v>
      </c>
      <c r="L456" s="3">
        <f t="shared" si="22"/>
        <v>82.433999999999997</v>
      </c>
      <c r="M456" s="5">
        <f t="shared" si="23"/>
        <v>0.48141140194120324</v>
      </c>
    </row>
    <row r="457" spans="1:13">
      <c r="A457" t="s">
        <v>495</v>
      </c>
      <c r="B457" s="2">
        <v>46122</v>
      </c>
      <c r="C457" t="s">
        <v>19</v>
      </c>
      <c r="D457" t="s">
        <v>15</v>
      </c>
      <c r="E457" t="s">
        <v>32</v>
      </c>
      <c r="F457" t="s">
        <v>22</v>
      </c>
      <c r="G457">
        <v>7</v>
      </c>
      <c r="H457" s="3">
        <v>96.41</v>
      </c>
      <c r="I457" s="4">
        <v>0.05</v>
      </c>
      <c r="J457" s="3">
        <v>48.7</v>
      </c>
      <c r="K457" s="3">
        <f t="shared" si="21"/>
        <v>641.12649999999996</v>
      </c>
      <c r="L457" s="3">
        <f t="shared" si="22"/>
        <v>300.22649999999993</v>
      </c>
      <c r="M457" s="5">
        <f t="shared" si="23"/>
        <v>0.46827966087815737</v>
      </c>
    </row>
    <row r="458" spans="1:13">
      <c r="A458" t="s">
        <v>496</v>
      </c>
      <c r="B458" s="2">
        <v>46093</v>
      </c>
      <c r="C458" t="s">
        <v>27</v>
      </c>
      <c r="D458" t="s">
        <v>15</v>
      </c>
      <c r="E458" t="s">
        <v>82</v>
      </c>
      <c r="F458" t="s">
        <v>43</v>
      </c>
      <c r="G458">
        <v>8</v>
      </c>
      <c r="H458" s="3">
        <v>82.66</v>
      </c>
      <c r="I458" s="4">
        <v>0.15</v>
      </c>
      <c r="J458" s="3">
        <v>42.43</v>
      </c>
      <c r="K458" s="3">
        <f t="shared" si="21"/>
        <v>562.08799999999997</v>
      </c>
      <c r="L458" s="3">
        <f t="shared" si="22"/>
        <v>222.64799999999997</v>
      </c>
      <c r="M458" s="5">
        <f t="shared" si="23"/>
        <v>0.39610879435248569</v>
      </c>
    </row>
    <row r="459" spans="1:13">
      <c r="A459" t="s">
        <v>497</v>
      </c>
      <c r="B459" s="2">
        <v>46154</v>
      </c>
      <c r="C459" t="s">
        <v>14</v>
      </c>
      <c r="D459" t="s">
        <v>15</v>
      </c>
      <c r="E459" t="s">
        <v>32</v>
      </c>
      <c r="F459" t="s">
        <v>33</v>
      </c>
      <c r="G459">
        <v>4</v>
      </c>
      <c r="H459" s="3">
        <v>96.54</v>
      </c>
      <c r="I459" s="4">
        <v>0</v>
      </c>
      <c r="J459" s="3">
        <v>47.74</v>
      </c>
      <c r="K459" s="3">
        <f t="shared" si="21"/>
        <v>386.16</v>
      </c>
      <c r="L459" s="3">
        <f t="shared" si="22"/>
        <v>195.20000000000002</v>
      </c>
      <c r="M459" s="5">
        <f t="shared" si="23"/>
        <v>0.50548995235135696</v>
      </c>
    </row>
    <row r="460" spans="1:13">
      <c r="A460" t="s">
        <v>498</v>
      </c>
      <c r="B460" s="2">
        <v>46258</v>
      </c>
      <c r="C460" t="s">
        <v>19</v>
      </c>
      <c r="D460" t="s">
        <v>39</v>
      </c>
      <c r="E460" t="s">
        <v>40</v>
      </c>
      <c r="F460" t="s">
        <v>17</v>
      </c>
      <c r="G460">
        <v>6</v>
      </c>
      <c r="H460" s="3">
        <v>56.57</v>
      </c>
      <c r="I460" s="4">
        <v>0.1</v>
      </c>
      <c r="J460" s="3">
        <v>24.19</v>
      </c>
      <c r="K460" s="3">
        <f t="shared" si="21"/>
        <v>305.47800000000001</v>
      </c>
      <c r="L460" s="3">
        <f t="shared" si="22"/>
        <v>160.33799999999999</v>
      </c>
      <c r="M460" s="5">
        <f t="shared" si="23"/>
        <v>0.52487576846777828</v>
      </c>
    </row>
    <row r="461" spans="1:13">
      <c r="A461" t="s">
        <v>499</v>
      </c>
      <c r="B461" s="2">
        <v>46169</v>
      </c>
      <c r="C461" t="s">
        <v>60</v>
      </c>
      <c r="D461" t="s">
        <v>24</v>
      </c>
      <c r="E461" t="s">
        <v>56</v>
      </c>
      <c r="F461" t="s">
        <v>28</v>
      </c>
      <c r="G461">
        <v>5</v>
      </c>
      <c r="H461" s="3">
        <v>64.87</v>
      </c>
      <c r="I461" s="4">
        <v>0.15</v>
      </c>
      <c r="J461" s="3">
        <v>28.44</v>
      </c>
      <c r="K461" s="3">
        <f t="shared" si="21"/>
        <v>275.69749999999999</v>
      </c>
      <c r="L461" s="3">
        <f t="shared" si="22"/>
        <v>133.49749999999997</v>
      </c>
      <c r="M461" s="5">
        <f t="shared" si="23"/>
        <v>0.48421730338505059</v>
      </c>
    </row>
    <row r="462" spans="1:13">
      <c r="A462" t="s">
        <v>500</v>
      </c>
      <c r="B462" s="2">
        <v>46029</v>
      </c>
      <c r="C462" t="s">
        <v>27</v>
      </c>
      <c r="D462" t="s">
        <v>20</v>
      </c>
      <c r="E462" t="s">
        <v>37</v>
      </c>
      <c r="F462" t="s">
        <v>33</v>
      </c>
      <c r="G462">
        <v>1</v>
      </c>
      <c r="H462" s="3">
        <v>297.98</v>
      </c>
      <c r="I462" s="4">
        <v>0</v>
      </c>
      <c r="J462" s="3">
        <v>177.85</v>
      </c>
      <c r="K462" s="3">
        <f t="shared" si="21"/>
        <v>297.98</v>
      </c>
      <c r="L462" s="3">
        <f t="shared" si="22"/>
        <v>120.13000000000002</v>
      </c>
      <c r="M462" s="5">
        <f t="shared" si="23"/>
        <v>0.40314786227263583</v>
      </c>
    </row>
    <row r="463" spans="1:13">
      <c r="A463" t="s">
        <v>501</v>
      </c>
      <c r="B463" s="2">
        <v>46197</v>
      </c>
      <c r="C463" t="s">
        <v>14</v>
      </c>
      <c r="D463" t="s">
        <v>20</v>
      </c>
      <c r="E463" t="s">
        <v>37</v>
      </c>
      <c r="F463" t="s">
        <v>47</v>
      </c>
      <c r="G463">
        <v>5</v>
      </c>
      <c r="H463" s="3">
        <v>292.52</v>
      </c>
      <c r="I463" s="4">
        <v>0</v>
      </c>
      <c r="J463" s="3">
        <v>179.63</v>
      </c>
      <c r="K463" s="3">
        <f t="shared" si="21"/>
        <v>1462.6</v>
      </c>
      <c r="L463" s="3">
        <f t="shared" si="22"/>
        <v>564.44999999999993</v>
      </c>
      <c r="M463" s="5">
        <f t="shared" si="23"/>
        <v>0.38592233009708737</v>
      </c>
    </row>
    <row r="464" spans="1:13">
      <c r="A464" t="s">
        <v>502</v>
      </c>
      <c r="B464" s="2">
        <v>46049</v>
      </c>
      <c r="C464" t="s">
        <v>19</v>
      </c>
      <c r="D464" t="s">
        <v>39</v>
      </c>
      <c r="E464" t="s">
        <v>40</v>
      </c>
      <c r="F464" t="s">
        <v>33</v>
      </c>
      <c r="G464">
        <v>7</v>
      </c>
      <c r="H464" s="3">
        <v>56.68</v>
      </c>
      <c r="I464" s="4">
        <v>0</v>
      </c>
      <c r="J464" s="3">
        <v>24.48</v>
      </c>
      <c r="K464" s="3">
        <f t="shared" si="21"/>
        <v>396.76</v>
      </c>
      <c r="L464" s="3">
        <f t="shared" si="22"/>
        <v>225.39999999999998</v>
      </c>
      <c r="M464" s="5">
        <f t="shared" si="23"/>
        <v>0.56810162314749468</v>
      </c>
    </row>
    <row r="465" spans="1:13">
      <c r="A465" t="s">
        <v>503</v>
      </c>
      <c r="B465" s="2">
        <v>46200</v>
      </c>
      <c r="C465" t="s">
        <v>19</v>
      </c>
      <c r="D465" t="s">
        <v>24</v>
      </c>
      <c r="E465" t="s">
        <v>45</v>
      </c>
      <c r="F465" t="s">
        <v>17</v>
      </c>
      <c r="G465">
        <v>7</v>
      </c>
      <c r="H465" s="3">
        <v>130.97999999999999</v>
      </c>
      <c r="I465" s="4">
        <v>0.2</v>
      </c>
      <c r="J465" s="3">
        <v>71.69</v>
      </c>
      <c r="K465" s="3">
        <f t="shared" si="21"/>
        <v>733.48799999999994</v>
      </c>
      <c r="L465" s="3">
        <f t="shared" si="22"/>
        <v>231.65799999999996</v>
      </c>
      <c r="M465" s="5">
        <f t="shared" si="23"/>
        <v>0.3158306611696442</v>
      </c>
    </row>
    <row r="466" spans="1:13">
      <c r="A466" t="s">
        <v>504</v>
      </c>
      <c r="B466" s="2">
        <v>46036</v>
      </c>
      <c r="C466" t="s">
        <v>14</v>
      </c>
      <c r="D466" t="s">
        <v>15</v>
      </c>
      <c r="E466" t="s">
        <v>16</v>
      </c>
      <c r="F466" t="s">
        <v>43</v>
      </c>
      <c r="G466">
        <v>8</v>
      </c>
      <c r="H466" s="3">
        <v>72.94</v>
      </c>
      <c r="I466" s="4">
        <v>0.15</v>
      </c>
      <c r="J466" s="3">
        <v>32.49</v>
      </c>
      <c r="K466" s="3">
        <f t="shared" si="21"/>
        <v>495.99199999999996</v>
      </c>
      <c r="L466" s="3">
        <f t="shared" si="22"/>
        <v>236.07199999999995</v>
      </c>
      <c r="M466" s="5">
        <f t="shared" si="23"/>
        <v>0.47595928966596229</v>
      </c>
    </row>
    <row r="467" spans="1:13">
      <c r="A467" t="s">
        <v>505</v>
      </c>
      <c r="B467" s="2">
        <v>46117</v>
      </c>
      <c r="C467" t="s">
        <v>30</v>
      </c>
      <c r="D467" t="s">
        <v>39</v>
      </c>
      <c r="E467" t="s">
        <v>40</v>
      </c>
      <c r="F467" t="s">
        <v>22</v>
      </c>
      <c r="G467">
        <v>4</v>
      </c>
      <c r="H467" s="3">
        <v>53.68</v>
      </c>
      <c r="I467" s="4">
        <v>0</v>
      </c>
      <c r="J467" s="3">
        <v>24.34</v>
      </c>
      <c r="K467" s="3">
        <f t="shared" si="21"/>
        <v>214.72</v>
      </c>
      <c r="L467" s="3">
        <f t="shared" si="22"/>
        <v>117.36</v>
      </c>
      <c r="M467" s="5">
        <f t="shared" si="23"/>
        <v>0.54657228017883752</v>
      </c>
    </row>
    <row r="468" spans="1:13">
      <c r="A468" t="s">
        <v>506</v>
      </c>
      <c r="B468" s="2">
        <v>46067</v>
      </c>
      <c r="C468" t="s">
        <v>19</v>
      </c>
      <c r="D468" t="s">
        <v>20</v>
      </c>
      <c r="E468" t="s">
        <v>35</v>
      </c>
      <c r="F468" t="s">
        <v>17</v>
      </c>
      <c r="G468">
        <v>1</v>
      </c>
      <c r="H468" s="3">
        <v>35.35</v>
      </c>
      <c r="I468" s="4">
        <v>0.05</v>
      </c>
      <c r="J468" s="3">
        <v>15.78</v>
      </c>
      <c r="K468" s="3">
        <f t="shared" si="21"/>
        <v>33.582500000000003</v>
      </c>
      <c r="L468" s="3">
        <f t="shared" si="22"/>
        <v>17.802500000000002</v>
      </c>
      <c r="M468" s="5">
        <f t="shared" si="23"/>
        <v>0.5301124097372143</v>
      </c>
    </row>
    <row r="469" spans="1:13">
      <c r="A469" t="s">
        <v>507</v>
      </c>
      <c r="B469" s="2">
        <v>46239</v>
      </c>
      <c r="C469" t="s">
        <v>14</v>
      </c>
      <c r="D469" t="s">
        <v>15</v>
      </c>
      <c r="E469" t="s">
        <v>82</v>
      </c>
      <c r="F469" t="s">
        <v>43</v>
      </c>
      <c r="G469">
        <v>3</v>
      </c>
      <c r="H469" s="3">
        <v>88.7</v>
      </c>
      <c r="I469" s="4">
        <v>0</v>
      </c>
      <c r="J469" s="3">
        <v>42.41</v>
      </c>
      <c r="K469" s="3">
        <f t="shared" si="21"/>
        <v>266.10000000000002</v>
      </c>
      <c r="L469" s="3">
        <f t="shared" si="22"/>
        <v>138.87000000000003</v>
      </c>
      <c r="M469" s="5">
        <f t="shared" si="23"/>
        <v>0.52187147688838786</v>
      </c>
    </row>
    <row r="470" spans="1:13">
      <c r="A470" t="s">
        <v>508</v>
      </c>
      <c r="B470" s="2">
        <v>46180</v>
      </c>
      <c r="C470" t="s">
        <v>30</v>
      </c>
      <c r="D470" t="s">
        <v>15</v>
      </c>
      <c r="E470" t="s">
        <v>82</v>
      </c>
      <c r="F470" t="s">
        <v>22</v>
      </c>
      <c r="G470">
        <v>6</v>
      </c>
      <c r="H470" s="3">
        <v>87.01</v>
      </c>
      <c r="I470" s="4">
        <v>0</v>
      </c>
      <c r="J470" s="3">
        <v>42.26</v>
      </c>
      <c r="K470" s="3">
        <f t="shared" si="21"/>
        <v>522.06000000000006</v>
      </c>
      <c r="L470" s="3">
        <f t="shared" si="22"/>
        <v>268.50000000000006</v>
      </c>
      <c r="M470" s="5">
        <f t="shared" si="23"/>
        <v>0.51430870014940822</v>
      </c>
    </row>
    <row r="471" spans="1:13">
      <c r="A471" t="s">
        <v>509</v>
      </c>
      <c r="B471" s="2">
        <v>46156</v>
      </c>
      <c r="C471" t="s">
        <v>14</v>
      </c>
      <c r="D471" t="s">
        <v>39</v>
      </c>
      <c r="E471" t="s">
        <v>54</v>
      </c>
      <c r="F471" t="s">
        <v>33</v>
      </c>
      <c r="G471">
        <v>7</v>
      </c>
      <c r="H471" s="3">
        <v>411.56</v>
      </c>
      <c r="I471" s="4">
        <v>0</v>
      </c>
      <c r="J471" s="3">
        <v>267.48</v>
      </c>
      <c r="K471" s="3">
        <f t="shared" si="21"/>
        <v>2880.92</v>
      </c>
      <c r="L471" s="3">
        <f t="shared" si="22"/>
        <v>1008.56</v>
      </c>
      <c r="M471" s="5">
        <f t="shared" si="23"/>
        <v>0.35008261249878508</v>
      </c>
    </row>
    <row r="472" spans="1:13">
      <c r="A472" t="s">
        <v>510</v>
      </c>
      <c r="B472" s="2">
        <v>46107</v>
      </c>
      <c r="C472" t="s">
        <v>27</v>
      </c>
      <c r="D472" t="s">
        <v>39</v>
      </c>
      <c r="E472" t="s">
        <v>40</v>
      </c>
      <c r="F472" t="s">
        <v>28</v>
      </c>
      <c r="G472">
        <v>8</v>
      </c>
      <c r="H472" s="3">
        <v>56.88</v>
      </c>
      <c r="I472" s="4">
        <v>0.2</v>
      </c>
      <c r="J472" s="3">
        <v>24.7</v>
      </c>
      <c r="K472" s="3">
        <f t="shared" si="21"/>
        <v>364.03200000000004</v>
      </c>
      <c r="L472" s="3">
        <f t="shared" si="22"/>
        <v>166.43200000000004</v>
      </c>
      <c r="M472" s="5">
        <f t="shared" si="23"/>
        <v>0.45719057665260204</v>
      </c>
    </row>
    <row r="473" spans="1:13">
      <c r="A473" t="s">
        <v>511</v>
      </c>
      <c r="B473" s="2">
        <v>46052</v>
      </c>
      <c r="C473" t="s">
        <v>19</v>
      </c>
      <c r="D473" t="s">
        <v>24</v>
      </c>
      <c r="E473" t="s">
        <v>25</v>
      </c>
      <c r="F473" t="s">
        <v>28</v>
      </c>
      <c r="G473">
        <v>4</v>
      </c>
      <c r="H473" s="3">
        <v>183.86</v>
      </c>
      <c r="I473" s="4">
        <v>0.2</v>
      </c>
      <c r="J473" s="3">
        <v>109.57</v>
      </c>
      <c r="K473" s="3">
        <f t="shared" si="21"/>
        <v>588.35200000000009</v>
      </c>
      <c r="L473" s="3">
        <f t="shared" si="22"/>
        <v>150.07200000000012</v>
      </c>
      <c r="M473" s="5">
        <f t="shared" si="23"/>
        <v>0.25507179375611894</v>
      </c>
    </row>
    <row r="474" spans="1:13">
      <c r="A474" t="s">
        <v>512</v>
      </c>
      <c r="B474" s="2">
        <v>46121</v>
      </c>
      <c r="C474" t="s">
        <v>14</v>
      </c>
      <c r="D474" t="s">
        <v>15</v>
      </c>
      <c r="E474" t="s">
        <v>16</v>
      </c>
      <c r="F474" t="s">
        <v>33</v>
      </c>
      <c r="G474">
        <v>6</v>
      </c>
      <c r="H474" s="3">
        <v>70.41</v>
      </c>
      <c r="I474" s="4">
        <v>0.05</v>
      </c>
      <c r="J474" s="3">
        <v>32.14</v>
      </c>
      <c r="K474" s="3">
        <f t="shared" si="21"/>
        <v>401.33699999999999</v>
      </c>
      <c r="L474" s="3">
        <f t="shared" si="22"/>
        <v>208.49699999999999</v>
      </c>
      <c r="M474" s="5">
        <f t="shared" si="23"/>
        <v>0.5195060510244508</v>
      </c>
    </row>
    <row r="475" spans="1:13">
      <c r="A475" t="s">
        <v>513</v>
      </c>
      <c r="B475" s="2">
        <v>46252</v>
      </c>
      <c r="C475" t="s">
        <v>19</v>
      </c>
      <c r="D475" t="s">
        <v>15</v>
      </c>
      <c r="E475" t="s">
        <v>32</v>
      </c>
      <c r="F475" t="s">
        <v>17</v>
      </c>
      <c r="G475">
        <v>2</v>
      </c>
      <c r="H475" s="3">
        <v>92.63</v>
      </c>
      <c r="I475" s="4">
        <v>0.2</v>
      </c>
      <c r="J475" s="3">
        <v>49.34</v>
      </c>
      <c r="K475" s="3">
        <f t="shared" si="21"/>
        <v>148.208</v>
      </c>
      <c r="L475" s="3">
        <f t="shared" si="22"/>
        <v>49.527999999999992</v>
      </c>
      <c r="M475" s="5">
        <f t="shared" si="23"/>
        <v>0.33417899168735826</v>
      </c>
    </row>
    <row r="476" spans="1:13">
      <c r="A476" t="s">
        <v>514</v>
      </c>
      <c r="B476" s="2">
        <v>46159</v>
      </c>
      <c r="C476" t="s">
        <v>14</v>
      </c>
      <c r="D476" t="s">
        <v>20</v>
      </c>
      <c r="E476" t="s">
        <v>21</v>
      </c>
      <c r="F476" t="s">
        <v>17</v>
      </c>
      <c r="G476">
        <v>4</v>
      </c>
      <c r="H476" s="3">
        <v>1197.81</v>
      </c>
      <c r="I476" s="4">
        <v>0.15</v>
      </c>
      <c r="J476" s="3">
        <v>837.42</v>
      </c>
      <c r="K476" s="3">
        <f t="shared" si="21"/>
        <v>4072.5539999999996</v>
      </c>
      <c r="L476" s="3">
        <f t="shared" si="22"/>
        <v>722.8739999999998</v>
      </c>
      <c r="M476" s="5">
        <f t="shared" si="23"/>
        <v>0.17749893555739221</v>
      </c>
    </row>
    <row r="477" spans="1:13">
      <c r="A477" t="s">
        <v>515</v>
      </c>
      <c r="B477" s="2">
        <v>46235</v>
      </c>
      <c r="C477" t="s">
        <v>19</v>
      </c>
      <c r="D477" t="s">
        <v>24</v>
      </c>
      <c r="E477" t="s">
        <v>56</v>
      </c>
      <c r="F477" t="s">
        <v>33</v>
      </c>
      <c r="G477">
        <v>2</v>
      </c>
      <c r="H477" s="3">
        <v>63.3</v>
      </c>
      <c r="I477" s="4">
        <v>0.1</v>
      </c>
      <c r="J477" s="3">
        <v>29.09</v>
      </c>
      <c r="K477" s="3">
        <f t="shared" si="21"/>
        <v>113.94</v>
      </c>
      <c r="L477" s="3">
        <f t="shared" si="22"/>
        <v>55.76</v>
      </c>
      <c r="M477" s="5">
        <f t="shared" si="23"/>
        <v>0.48938037563629982</v>
      </c>
    </row>
    <row r="478" spans="1:13">
      <c r="A478" t="s">
        <v>516</v>
      </c>
      <c r="B478" s="2">
        <v>46032</v>
      </c>
      <c r="C478" t="s">
        <v>14</v>
      </c>
      <c r="D478" t="s">
        <v>20</v>
      </c>
      <c r="E478" t="s">
        <v>21</v>
      </c>
      <c r="F478" t="s">
        <v>33</v>
      </c>
      <c r="G478">
        <v>5</v>
      </c>
      <c r="H478" s="3">
        <v>1214.0999999999999</v>
      </c>
      <c r="I478" s="4">
        <v>0.05</v>
      </c>
      <c r="J478" s="3">
        <v>842.67</v>
      </c>
      <c r="K478" s="3">
        <f t="shared" si="21"/>
        <v>5766.9749999999995</v>
      </c>
      <c r="L478" s="3">
        <f t="shared" si="22"/>
        <v>1553.625</v>
      </c>
      <c r="M478" s="5">
        <f t="shared" si="23"/>
        <v>0.26940033553119275</v>
      </c>
    </row>
    <row r="479" spans="1:13">
      <c r="A479" t="s">
        <v>517</v>
      </c>
      <c r="B479" s="2">
        <v>46127</v>
      </c>
      <c r="C479" t="s">
        <v>27</v>
      </c>
      <c r="D479" t="s">
        <v>24</v>
      </c>
      <c r="E479" t="s">
        <v>45</v>
      </c>
      <c r="F479" t="s">
        <v>43</v>
      </c>
      <c r="G479">
        <v>6</v>
      </c>
      <c r="H479" s="3">
        <v>127.57</v>
      </c>
      <c r="I479" s="4">
        <v>0</v>
      </c>
      <c r="J479" s="3">
        <v>72.489999999999995</v>
      </c>
      <c r="K479" s="3">
        <f t="shared" si="21"/>
        <v>765.42</v>
      </c>
      <c r="L479" s="3">
        <f t="shared" si="22"/>
        <v>330.48</v>
      </c>
      <c r="M479" s="5">
        <f t="shared" si="23"/>
        <v>0.43176295367249357</v>
      </c>
    </row>
    <row r="480" spans="1:13">
      <c r="A480" t="s">
        <v>518</v>
      </c>
      <c r="B480" s="2">
        <v>46207</v>
      </c>
      <c r="C480" t="s">
        <v>19</v>
      </c>
      <c r="D480" t="s">
        <v>20</v>
      </c>
      <c r="E480" t="s">
        <v>37</v>
      </c>
      <c r="F480" t="s">
        <v>43</v>
      </c>
      <c r="G480">
        <v>2</v>
      </c>
      <c r="H480" s="3">
        <v>291.52</v>
      </c>
      <c r="I480" s="4">
        <v>0.05</v>
      </c>
      <c r="J480" s="3">
        <v>179.01</v>
      </c>
      <c r="K480" s="3">
        <f t="shared" si="21"/>
        <v>553.88799999999992</v>
      </c>
      <c r="L480" s="3">
        <f t="shared" si="22"/>
        <v>195.86799999999994</v>
      </c>
      <c r="M480" s="5">
        <f t="shared" si="23"/>
        <v>0.35362383731006986</v>
      </c>
    </row>
    <row r="481" spans="1:13">
      <c r="A481" t="s">
        <v>519</v>
      </c>
      <c r="B481" s="2">
        <v>46100</v>
      </c>
      <c r="C481" t="s">
        <v>19</v>
      </c>
      <c r="D481" t="s">
        <v>15</v>
      </c>
      <c r="E481" t="s">
        <v>82</v>
      </c>
      <c r="F481" t="s">
        <v>17</v>
      </c>
      <c r="G481">
        <v>7</v>
      </c>
      <c r="H481" s="3">
        <v>86.65</v>
      </c>
      <c r="I481" s="4">
        <v>0.05</v>
      </c>
      <c r="J481" s="3">
        <v>42.16</v>
      </c>
      <c r="K481" s="3">
        <f t="shared" si="21"/>
        <v>576.22250000000008</v>
      </c>
      <c r="L481" s="3">
        <f t="shared" si="22"/>
        <v>281.10250000000008</v>
      </c>
      <c r="M481" s="5">
        <f t="shared" si="23"/>
        <v>0.48783672973547554</v>
      </c>
    </row>
    <row r="482" spans="1:13">
      <c r="A482" t="s">
        <v>520</v>
      </c>
      <c r="B482" s="2">
        <v>46079</v>
      </c>
      <c r="C482" t="s">
        <v>14</v>
      </c>
      <c r="D482" t="s">
        <v>24</v>
      </c>
      <c r="E482" t="s">
        <v>56</v>
      </c>
      <c r="F482" t="s">
        <v>43</v>
      </c>
      <c r="G482">
        <v>5</v>
      </c>
      <c r="H482" s="3">
        <v>63.24</v>
      </c>
      <c r="I482" s="4">
        <v>0.2</v>
      </c>
      <c r="J482" s="3">
        <v>29.4</v>
      </c>
      <c r="K482" s="3">
        <f t="shared" si="21"/>
        <v>252.96</v>
      </c>
      <c r="L482" s="3">
        <f t="shared" si="22"/>
        <v>105.96000000000001</v>
      </c>
      <c r="M482" s="5">
        <f t="shared" si="23"/>
        <v>0.41888045540796964</v>
      </c>
    </row>
    <row r="483" spans="1:13">
      <c r="A483" t="s">
        <v>521</v>
      </c>
      <c r="B483" s="2">
        <v>46188</v>
      </c>
      <c r="C483" t="s">
        <v>27</v>
      </c>
      <c r="D483" t="s">
        <v>20</v>
      </c>
      <c r="E483" t="s">
        <v>37</v>
      </c>
      <c r="F483" t="s">
        <v>17</v>
      </c>
      <c r="G483">
        <v>3</v>
      </c>
      <c r="H483" s="3">
        <v>278.52999999999997</v>
      </c>
      <c r="I483" s="4">
        <v>0</v>
      </c>
      <c r="J483" s="3">
        <v>181.77</v>
      </c>
      <c r="K483" s="3">
        <f t="shared" si="21"/>
        <v>835.58999999999992</v>
      </c>
      <c r="L483" s="3">
        <f t="shared" si="22"/>
        <v>290.27999999999986</v>
      </c>
      <c r="M483" s="5">
        <f t="shared" si="23"/>
        <v>0.34739525365310725</v>
      </c>
    </row>
    <row r="484" spans="1:13">
      <c r="A484" t="s">
        <v>522</v>
      </c>
      <c r="B484" s="2">
        <v>46163</v>
      </c>
      <c r="C484" t="s">
        <v>60</v>
      </c>
      <c r="D484" t="s">
        <v>15</v>
      </c>
      <c r="E484" t="s">
        <v>16</v>
      </c>
      <c r="F484" t="s">
        <v>22</v>
      </c>
      <c r="G484">
        <v>6</v>
      </c>
      <c r="H484" s="3">
        <v>72.91</v>
      </c>
      <c r="I484" s="4">
        <v>0</v>
      </c>
      <c r="J484" s="3">
        <v>32.72</v>
      </c>
      <c r="K484" s="3">
        <f t="shared" si="21"/>
        <v>437.46</v>
      </c>
      <c r="L484" s="3">
        <f t="shared" si="22"/>
        <v>241.14</v>
      </c>
      <c r="M484" s="5">
        <f t="shared" si="23"/>
        <v>0.5512275408037306</v>
      </c>
    </row>
    <row r="485" spans="1:13">
      <c r="A485" t="s">
        <v>523</v>
      </c>
      <c r="B485" s="2">
        <v>46064</v>
      </c>
      <c r="C485" t="s">
        <v>14</v>
      </c>
      <c r="D485" t="s">
        <v>15</v>
      </c>
      <c r="E485" t="s">
        <v>16</v>
      </c>
      <c r="F485" t="s">
        <v>17</v>
      </c>
      <c r="G485">
        <v>2</v>
      </c>
      <c r="H485" s="3">
        <v>72.239999999999995</v>
      </c>
      <c r="I485" s="4">
        <v>0</v>
      </c>
      <c r="J485" s="3">
        <v>32.72</v>
      </c>
      <c r="K485" s="3">
        <f t="shared" si="21"/>
        <v>144.47999999999999</v>
      </c>
      <c r="L485" s="3">
        <f t="shared" si="22"/>
        <v>79.039999999999992</v>
      </c>
      <c r="M485" s="5">
        <f t="shared" si="23"/>
        <v>0.54706533776301214</v>
      </c>
    </row>
    <row r="486" spans="1:13">
      <c r="A486" t="s">
        <v>524</v>
      </c>
      <c r="B486" s="2">
        <v>46141</v>
      </c>
      <c r="C486" t="s">
        <v>19</v>
      </c>
      <c r="D486" t="s">
        <v>20</v>
      </c>
      <c r="E486" t="s">
        <v>35</v>
      </c>
      <c r="F486" t="s">
        <v>33</v>
      </c>
      <c r="G486">
        <v>2</v>
      </c>
      <c r="H486" s="3">
        <v>34.22</v>
      </c>
      <c r="I486" s="4">
        <v>0</v>
      </c>
      <c r="J486" s="3">
        <v>16.14</v>
      </c>
      <c r="K486" s="3">
        <f t="shared" si="21"/>
        <v>68.44</v>
      </c>
      <c r="L486" s="3">
        <f t="shared" si="22"/>
        <v>36.159999999999997</v>
      </c>
      <c r="M486" s="5">
        <f t="shared" si="23"/>
        <v>0.52834599649327874</v>
      </c>
    </row>
    <row r="487" spans="1:13">
      <c r="A487" t="s">
        <v>525</v>
      </c>
      <c r="B487" s="2">
        <v>46114</v>
      </c>
      <c r="C487" t="s">
        <v>14</v>
      </c>
      <c r="D487" t="s">
        <v>39</v>
      </c>
      <c r="E487" t="s">
        <v>65</v>
      </c>
      <c r="F487" t="s">
        <v>47</v>
      </c>
      <c r="G487">
        <v>5</v>
      </c>
      <c r="H487" s="3">
        <v>229.02</v>
      </c>
      <c r="I487" s="4">
        <v>0.1</v>
      </c>
      <c r="J487" s="3">
        <v>129.47</v>
      </c>
      <c r="K487" s="3">
        <f t="shared" si="21"/>
        <v>1030.5900000000001</v>
      </c>
      <c r="L487" s="3">
        <f t="shared" si="22"/>
        <v>383.24000000000012</v>
      </c>
      <c r="M487" s="5">
        <f t="shared" si="23"/>
        <v>0.37186466004909818</v>
      </c>
    </row>
    <row r="488" spans="1:13">
      <c r="A488" t="s">
        <v>526</v>
      </c>
      <c r="B488" s="2">
        <v>46107</v>
      </c>
      <c r="C488" t="s">
        <v>19</v>
      </c>
      <c r="D488" t="s">
        <v>15</v>
      </c>
      <c r="E488" t="s">
        <v>32</v>
      </c>
      <c r="F488" t="s">
        <v>47</v>
      </c>
      <c r="G488">
        <v>3</v>
      </c>
      <c r="H488" s="3">
        <v>94.32</v>
      </c>
      <c r="I488" s="4">
        <v>0.05</v>
      </c>
      <c r="J488" s="3">
        <v>47.8</v>
      </c>
      <c r="K488" s="3">
        <f t="shared" si="21"/>
        <v>268.81199999999995</v>
      </c>
      <c r="L488" s="3">
        <f t="shared" si="22"/>
        <v>125.41199999999998</v>
      </c>
      <c r="M488" s="5">
        <f t="shared" si="23"/>
        <v>0.46654167224677467</v>
      </c>
    </row>
    <row r="489" spans="1:13">
      <c r="A489" t="s">
        <v>527</v>
      </c>
      <c r="B489" s="2">
        <v>46066</v>
      </c>
      <c r="C489" t="s">
        <v>14</v>
      </c>
      <c r="D489" t="s">
        <v>39</v>
      </c>
      <c r="E489" t="s">
        <v>65</v>
      </c>
      <c r="F489" t="s">
        <v>33</v>
      </c>
      <c r="G489">
        <v>7</v>
      </c>
      <c r="H489" s="3">
        <v>218.32</v>
      </c>
      <c r="I489" s="4">
        <v>0</v>
      </c>
      <c r="J489" s="3">
        <v>131.82</v>
      </c>
      <c r="K489" s="3">
        <f t="shared" si="21"/>
        <v>1528.24</v>
      </c>
      <c r="L489" s="3">
        <f t="shared" si="22"/>
        <v>605.5</v>
      </c>
      <c r="M489" s="5">
        <f t="shared" si="23"/>
        <v>0.39620740197874676</v>
      </c>
    </row>
    <row r="490" spans="1:13">
      <c r="A490" t="s">
        <v>528</v>
      </c>
      <c r="B490" s="2">
        <v>46247</v>
      </c>
      <c r="C490" t="s">
        <v>27</v>
      </c>
      <c r="D490" t="s">
        <v>24</v>
      </c>
      <c r="E490" t="s">
        <v>45</v>
      </c>
      <c r="F490" t="s">
        <v>28</v>
      </c>
      <c r="G490">
        <v>5</v>
      </c>
      <c r="H490" s="3">
        <v>121.22</v>
      </c>
      <c r="I490" s="4">
        <v>0.05</v>
      </c>
      <c r="J490" s="3">
        <v>72.88</v>
      </c>
      <c r="K490" s="3">
        <f t="shared" si="21"/>
        <v>575.79499999999996</v>
      </c>
      <c r="L490" s="3">
        <f t="shared" si="22"/>
        <v>211.39499999999998</v>
      </c>
      <c r="M490" s="5">
        <f t="shared" si="23"/>
        <v>0.3671358730103596</v>
      </c>
    </row>
    <row r="491" spans="1:13">
      <c r="A491" t="s">
        <v>529</v>
      </c>
      <c r="B491" s="2">
        <v>46238</v>
      </c>
      <c r="C491" t="s">
        <v>14</v>
      </c>
      <c r="D491" t="s">
        <v>39</v>
      </c>
      <c r="E491" t="s">
        <v>40</v>
      </c>
      <c r="F491" t="s">
        <v>28</v>
      </c>
      <c r="G491">
        <v>4</v>
      </c>
      <c r="H491" s="3">
        <v>57.19</v>
      </c>
      <c r="I491" s="4">
        <v>0</v>
      </c>
      <c r="J491" s="3">
        <v>23.61</v>
      </c>
      <c r="K491" s="3">
        <f t="shared" si="21"/>
        <v>228.76</v>
      </c>
      <c r="L491" s="3">
        <f t="shared" si="22"/>
        <v>134.32</v>
      </c>
      <c r="M491" s="5">
        <f t="shared" si="23"/>
        <v>0.58716558838957855</v>
      </c>
    </row>
    <row r="492" spans="1:13">
      <c r="A492" t="s">
        <v>530</v>
      </c>
      <c r="B492" s="2">
        <v>46251</v>
      </c>
      <c r="C492" t="s">
        <v>14</v>
      </c>
      <c r="D492" t="s">
        <v>20</v>
      </c>
      <c r="E492" t="s">
        <v>37</v>
      </c>
      <c r="F492" t="s">
        <v>33</v>
      </c>
      <c r="G492">
        <v>7</v>
      </c>
      <c r="H492" s="3">
        <v>283.95</v>
      </c>
      <c r="I492" s="4">
        <v>0.1</v>
      </c>
      <c r="J492" s="3">
        <v>176.73</v>
      </c>
      <c r="K492" s="3">
        <f t="shared" si="21"/>
        <v>1788.885</v>
      </c>
      <c r="L492" s="3">
        <f t="shared" si="22"/>
        <v>551.77500000000009</v>
      </c>
      <c r="M492" s="5">
        <f t="shared" si="23"/>
        <v>0.30844632270939726</v>
      </c>
    </row>
    <row r="493" spans="1:13">
      <c r="A493" t="s">
        <v>531</v>
      </c>
      <c r="B493" s="2">
        <v>46162</v>
      </c>
      <c r="C493" t="s">
        <v>60</v>
      </c>
      <c r="D493" t="s">
        <v>24</v>
      </c>
      <c r="E493" t="s">
        <v>56</v>
      </c>
      <c r="F493" t="s">
        <v>43</v>
      </c>
      <c r="G493">
        <v>3</v>
      </c>
      <c r="H493" s="3">
        <v>63.71</v>
      </c>
      <c r="I493" s="4">
        <v>0.05</v>
      </c>
      <c r="J493" s="3">
        <v>29.54</v>
      </c>
      <c r="K493" s="3">
        <f t="shared" si="21"/>
        <v>181.5735</v>
      </c>
      <c r="L493" s="3">
        <f t="shared" si="22"/>
        <v>92.953499999999991</v>
      </c>
      <c r="M493" s="5">
        <f t="shared" si="23"/>
        <v>0.51193318408247901</v>
      </c>
    </row>
    <row r="494" spans="1:13">
      <c r="A494" t="s">
        <v>532</v>
      </c>
      <c r="B494" s="2">
        <v>46242</v>
      </c>
      <c r="C494" t="s">
        <v>14</v>
      </c>
      <c r="D494" t="s">
        <v>24</v>
      </c>
      <c r="E494" t="s">
        <v>56</v>
      </c>
      <c r="F494" t="s">
        <v>17</v>
      </c>
      <c r="G494">
        <v>2</v>
      </c>
      <c r="H494" s="3">
        <v>65.34</v>
      </c>
      <c r="I494" s="4">
        <v>0.05</v>
      </c>
      <c r="J494" s="3">
        <v>29.38</v>
      </c>
      <c r="K494" s="3">
        <f t="shared" si="21"/>
        <v>124.146</v>
      </c>
      <c r="L494" s="3">
        <f t="shared" si="22"/>
        <v>65.385999999999996</v>
      </c>
      <c r="M494" s="5">
        <f t="shared" si="23"/>
        <v>0.52668632094469414</v>
      </c>
    </row>
    <row r="495" spans="1:13">
      <c r="A495" t="s">
        <v>533</v>
      </c>
      <c r="B495" s="2">
        <v>46198</v>
      </c>
      <c r="C495" t="s">
        <v>14</v>
      </c>
      <c r="D495" t="s">
        <v>39</v>
      </c>
      <c r="E495" t="s">
        <v>54</v>
      </c>
      <c r="F495" t="s">
        <v>22</v>
      </c>
      <c r="G495">
        <v>3</v>
      </c>
      <c r="H495" s="3">
        <v>439.06</v>
      </c>
      <c r="I495" s="4">
        <v>0</v>
      </c>
      <c r="J495" s="3">
        <v>273.5</v>
      </c>
      <c r="K495" s="3">
        <f t="shared" si="21"/>
        <v>1317.18</v>
      </c>
      <c r="L495" s="3">
        <f t="shared" si="22"/>
        <v>496.68000000000006</v>
      </c>
      <c r="M495" s="5">
        <f t="shared" si="23"/>
        <v>0.37707830364870409</v>
      </c>
    </row>
    <row r="496" spans="1:13">
      <c r="A496" t="s">
        <v>534</v>
      </c>
      <c r="B496" s="2">
        <v>46211</v>
      </c>
      <c r="C496" t="s">
        <v>19</v>
      </c>
      <c r="D496" t="s">
        <v>15</v>
      </c>
      <c r="E496" t="s">
        <v>16</v>
      </c>
      <c r="F496" t="s">
        <v>22</v>
      </c>
      <c r="G496">
        <v>4</v>
      </c>
      <c r="H496" s="3">
        <v>68.66</v>
      </c>
      <c r="I496" s="4">
        <v>0.1</v>
      </c>
      <c r="J496" s="3">
        <v>31.78</v>
      </c>
      <c r="K496" s="3">
        <f t="shared" si="21"/>
        <v>247.17599999999999</v>
      </c>
      <c r="L496" s="3">
        <f t="shared" si="22"/>
        <v>120.05599999999998</v>
      </c>
      <c r="M496" s="5">
        <f t="shared" si="23"/>
        <v>0.48571058678836126</v>
      </c>
    </row>
    <row r="497" spans="1:13">
      <c r="A497" t="s">
        <v>535</v>
      </c>
      <c r="B497" s="2">
        <v>46033</v>
      </c>
      <c r="C497" t="s">
        <v>19</v>
      </c>
      <c r="D497" t="s">
        <v>15</v>
      </c>
      <c r="E497" t="s">
        <v>82</v>
      </c>
      <c r="F497" t="s">
        <v>43</v>
      </c>
      <c r="G497">
        <v>8</v>
      </c>
      <c r="H497" s="3">
        <v>88.34</v>
      </c>
      <c r="I497" s="4">
        <v>0.15</v>
      </c>
      <c r="J497" s="3">
        <v>41.24</v>
      </c>
      <c r="K497" s="3">
        <f t="shared" si="21"/>
        <v>600.71199999999999</v>
      </c>
      <c r="L497" s="3">
        <f t="shared" si="22"/>
        <v>270.79199999999997</v>
      </c>
      <c r="M497" s="5">
        <f t="shared" si="23"/>
        <v>0.4507850683855158</v>
      </c>
    </row>
    <row r="498" spans="1:13">
      <c r="A498" t="s">
        <v>536</v>
      </c>
      <c r="B498" s="2">
        <v>46105</v>
      </c>
      <c r="C498" t="s">
        <v>14</v>
      </c>
      <c r="D498" t="s">
        <v>15</v>
      </c>
      <c r="E498" t="s">
        <v>32</v>
      </c>
      <c r="F498" t="s">
        <v>47</v>
      </c>
      <c r="G498">
        <v>5</v>
      </c>
      <c r="H498" s="3">
        <v>96.07</v>
      </c>
      <c r="I498" s="4">
        <v>0.05</v>
      </c>
      <c r="J498" s="3">
        <v>47.94</v>
      </c>
      <c r="K498" s="3">
        <f t="shared" si="21"/>
        <v>456.33249999999992</v>
      </c>
      <c r="L498" s="3">
        <f t="shared" si="22"/>
        <v>216.63249999999994</v>
      </c>
      <c r="M498" s="5">
        <f t="shared" si="23"/>
        <v>0.47472511819780527</v>
      </c>
    </row>
    <row r="499" spans="1:13">
      <c r="A499" t="s">
        <v>537</v>
      </c>
      <c r="B499" s="2">
        <v>46116</v>
      </c>
      <c r="C499" t="s">
        <v>19</v>
      </c>
      <c r="D499" t="s">
        <v>20</v>
      </c>
      <c r="E499" t="s">
        <v>37</v>
      </c>
      <c r="F499" t="s">
        <v>33</v>
      </c>
      <c r="G499">
        <v>5</v>
      </c>
      <c r="H499" s="3">
        <v>302.08</v>
      </c>
      <c r="I499" s="4">
        <v>0.05</v>
      </c>
      <c r="J499" s="3">
        <v>181.05</v>
      </c>
      <c r="K499" s="3">
        <f t="shared" si="21"/>
        <v>1434.8799999999999</v>
      </c>
      <c r="L499" s="3">
        <f t="shared" si="22"/>
        <v>529.62999999999988</v>
      </c>
      <c r="M499" s="5">
        <f t="shared" si="23"/>
        <v>0.36911100579839423</v>
      </c>
    </row>
    <row r="500" spans="1:13">
      <c r="A500" t="s">
        <v>538</v>
      </c>
      <c r="B500" s="2">
        <v>46232</v>
      </c>
      <c r="C500" t="s">
        <v>30</v>
      </c>
      <c r="D500" t="s">
        <v>24</v>
      </c>
      <c r="E500" t="s">
        <v>45</v>
      </c>
      <c r="F500" t="s">
        <v>28</v>
      </c>
      <c r="G500">
        <v>1</v>
      </c>
      <c r="H500" s="3">
        <v>121.56</v>
      </c>
      <c r="I500" s="4">
        <v>0.05</v>
      </c>
      <c r="J500" s="3">
        <v>71.16</v>
      </c>
      <c r="K500" s="3">
        <f t="shared" si="21"/>
        <v>115.482</v>
      </c>
      <c r="L500" s="3">
        <f t="shared" si="22"/>
        <v>44.322000000000003</v>
      </c>
      <c r="M500" s="5">
        <f t="shared" si="23"/>
        <v>0.38380007273860867</v>
      </c>
    </row>
    <row r="501" spans="1:13">
      <c r="A501" t="s">
        <v>539</v>
      </c>
      <c r="B501" s="2">
        <v>46154</v>
      </c>
      <c r="C501" t="s">
        <v>19</v>
      </c>
      <c r="D501" t="s">
        <v>39</v>
      </c>
      <c r="E501" t="s">
        <v>65</v>
      </c>
      <c r="F501" t="s">
        <v>43</v>
      </c>
      <c r="G501">
        <v>3</v>
      </c>
      <c r="H501" s="3">
        <v>223.12</v>
      </c>
      <c r="I501" s="4">
        <v>0</v>
      </c>
      <c r="J501" s="3">
        <v>132.71</v>
      </c>
      <c r="K501" s="3">
        <f t="shared" si="21"/>
        <v>669.36</v>
      </c>
      <c r="L501" s="3">
        <f t="shared" si="22"/>
        <v>271.23</v>
      </c>
      <c r="M501" s="5">
        <f t="shared" si="23"/>
        <v>0.4052079598422374</v>
      </c>
    </row>
  </sheetData>
  <conditionalFormatting sqref="M2:M501">
    <cfRule type="colorScale" priority="1">
      <colorScale>
        <cfvo type="min"/>
        <cfvo type="percentile" val="50"/>
        <cfvo type="max"/>
        <color rgb="FFFDE2E2"/>
        <color rgb="FFFFF2CC"/>
        <color rgb="FFD9EAD3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7"/>
  <sheetViews>
    <sheetView topLeftCell="A10" zoomScale="71" zoomScaleNormal="71" workbookViewId="0">
      <selection activeCell="K42" sqref="K42"/>
    </sheetView>
  </sheetViews>
  <sheetFormatPr defaultRowHeight="14.25"/>
  <cols>
    <col min="1" max="12" width="11" customWidth="1"/>
  </cols>
  <sheetData>
    <row r="1" spans="1:12">
      <c r="A1" s="8" t="s">
        <v>540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1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</row>
    <row r="3" spans="1:12">
      <c r="A3" s="9" t="s">
        <v>541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 spans="1:12">
      <c r="A4" s="10" t="s">
        <v>542</v>
      </c>
      <c r="B4" s="10"/>
      <c r="C4" s="10"/>
      <c r="D4" s="10" t="s">
        <v>543</v>
      </c>
      <c r="E4" s="10"/>
      <c r="F4" s="10"/>
      <c r="G4" s="10" t="s">
        <v>544</v>
      </c>
      <c r="H4" s="10"/>
      <c r="I4" s="10"/>
      <c r="J4" s="10" t="s">
        <v>545</v>
      </c>
      <c r="K4" s="10"/>
      <c r="L4" s="10"/>
    </row>
    <row r="5" spans="1:12">
      <c r="A5" s="11">
        <f>SUM(Data!$K$2:$K$501)</f>
        <v>468702.51799999975</v>
      </c>
      <c r="B5" s="12"/>
      <c r="C5" s="13"/>
      <c r="D5" s="11">
        <f>SUM(Data!$L$2:$L$501)</f>
        <v>156299.96799999996</v>
      </c>
      <c r="E5" s="12"/>
      <c r="F5" s="13"/>
      <c r="G5" s="20">
        <f>IFERROR(SUM(Data!$L$2:$L$501)/SUM(Data!$K$2:$K$501),0)</f>
        <v>0.33347371093065059</v>
      </c>
      <c r="H5" s="12"/>
      <c r="I5" s="13"/>
      <c r="J5" s="21">
        <f>COUNTA(Data!$A$2:$A$501)</f>
        <v>500</v>
      </c>
      <c r="K5" s="12"/>
      <c r="L5" s="13"/>
    </row>
    <row r="6" spans="1:12">
      <c r="A6" s="14"/>
      <c r="B6" s="15"/>
      <c r="C6" s="16"/>
      <c r="D6" s="14"/>
      <c r="E6" s="15"/>
      <c r="F6" s="16"/>
      <c r="G6" s="14"/>
      <c r="H6" s="15"/>
      <c r="I6" s="16"/>
      <c r="J6" s="14"/>
      <c r="K6" s="15"/>
      <c r="L6" s="16"/>
    </row>
    <row r="7" spans="1:12">
      <c r="A7" s="17"/>
      <c r="B7" s="18"/>
      <c r="C7" s="19"/>
      <c r="D7" s="17"/>
      <c r="E7" s="18"/>
      <c r="F7" s="19"/>
      <c r="G7" s="17"/>
      <c r="H7" s="18"/>
      <c r="I7" s="19"/>
      <c r="J7" s="17"/>
      <c r="K7" s="18"/>
      <c r="L7" s="19"/>
    </row>
    <row r="24" spans="7:12" ht="15">
      <c r="G24" s="22" t="s">
        <v>546</v>
      </c>
      <c r="H24" s="22"/>
      <c r="I24" s="22"/>
      <c r="J24" s="22"/>
      <c r="K24" s="22"/>
      <c r="L24" s="22"/>
    </row>
    <row r="25" spans="7:12">
      <c r="G25" s="23" t="s">
        <v>547</v>
      </c>
      <c r="H25" s="24"/>
      <c r="I25" s="24"/>
      <c r="J25" s="24"/>
      <c r="K25" s="24"/>
      <c r="L25" s="25"/>
    </row>
    <row r="26" spans="7:12">
      <c r="G26" s="26"/>
      <c r="H26" s="27"/>
      <c r="I26" s="27"/>
      <c r="J26" s="27"/>
      <c r="K26" s="27"/>
      <c r="L26" s="28"/>
    </row>
    <row r="27" spans="7:12">
      <c r="G27" s="26"/>
      <c r="H27" s="27"/>
      <c r="I27" s="27"/>
      <c r="J27" s="27"/>
      <c r="K27" s="27"/>
      <c r="L27" s="28"/>
    </row>
    <row r="28" spans="7:12">
      <c r="G28" s="26"/>
      <c r="H28" s="27"/>
      <c r="I28" s="27"/>
      <c r="J28" s="27"/>
      <c r="K28" s="27"/>
      <c r="L28" s="28"/>
    </row>
    <row r="29" spans="7:12">
      <c r="G29" s="26"/>
      <c r="H29" s="27"/>
      <c r="I29" s="27"/>
      <c r="J29" s="27"/>
      <c r="K29" s="27"/>
      <c r="L29" s="28"/>
    </row>
    <row r="30" spans="7:12">
      <c r="G30" s="26"/>
      <c r="H30" s="27"/>
      <c r="I30" s="27"/>
      <c r="J30" s="27"/>
      <c r="K30" s="27"/>
      <c r="L30" s="28"/>
    </row>
    <row r="31" spans="7:12">
      <c r="G31" s="26"/>
      <c r="H31" s="27"/>
      <c r="I31" s="27"/>
      <c r="J31" s="27"/>
      <c r="K31" s="27"/>
      <c r="L31" s="28"/>
    </row>
    <row r="32" spans="7:12">
      <c r="G32" s="26"/>
      <c r="H32" s="27"/>
      <c r="I32" s="27"/>
      <c r="J32" s="27"/>
      <c r="K32" s="27"/>
      <c r="L32" s="28"/>
    </row>
    <row r="33" spans="7:12">
      <c r="G33" s="26"/>
      <c r="H33" s="27"/>
      <c r="I33" s="27"/>
      <c r="J33" s="27"/>
      <c r="K33" s="27"/>
      <c r="L33" s="28"/>
    </row>
    <row r="34" spans="7:12">
      <c r="G34" s="26"/>
      <c r="H34" s="27"/>
      <c r="I34" s="27"/>
      <c r="J34" s="27"/>
      <c r="K34" s="27"/>
      <c r="L34" s="28"/>
    </row>
    <row r="35" spans="7:12">
      <c r="G35" s="26"/>
      <c r="H35" s="27"/>
      <c r="I35" s="27"/>
      <c r="J35" s="27"/>
      <c r="K35" s="27"/>
      <c r="L35" s="28"/>
    </row>
    <row r="36" spans="7:12">
      <c r="G36" s="26"/>
      <c r="H36" s="27"/>
      <c r="I36" s="27"/>
      <c r="J36" s="27"/>
      <c r="K36" s="27"/>
      <c r="L36" s="28"/>
    </row>
    <row r="37" spans="7:12">
      <c r="G37" s="29"/>
      <c r="H37" s="30"/>
      <c r="I37" s="30"/>
      <c r="J37" s="30"/>
      <c r="K37" s="30"/>
      <c r="L37" s="31"/>
    </row>
  </sheetData>
  <mergeCells count="12">
    <mergeCell ref="G25:L37"/>
    <mergeCell ref="A5:C7"/>
    <mergeCell ref="D5:F7"/>
    <mergeCell ref="G5:I7"/>
    <mergeCell ref="J5:L7"/>
    <mergeCell ref="G24:L24"/>
    <mergeCell ref="A1:L2"/>
    <mergeCell ref="A3:L3"/>
    <mergeCell ref="A4:C4"/>
    <mergeCell ref="D4:F4"/>
    <mergeCell ref="G4:I4"/>
    <mergeCell ref="J4:L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"/>
  <sheetViews>
    <sheetView tabSelected="1" zoomScale="115" zoomScaleNormal="115" workbookViewId="0">
      <selection activeCell="B20" sqref="B20"/>
    </sheetView>
  </sheetViews>
  <sheetFormatPr defaultRowHeight="14.25"/>
  <cols>
    <col min="1" max="1" width="11.75" customWidth="1"/>
    <col min="2" max="2" width="14.25" customWidth="1"/>
    <col min="3" max="3" width="11.625" customWidth="1"/>
    <col min="5" max="5" width="12.875" customWidth="1"/>
    <col min="6" max="6" width="14.375" customWidth="1"/>
    <col min="7" max="7" width="13" customWidth="1"/>
    <col min="9" max="9" width="12" customWidth="1"/>
    <col min="10" max="10" width="12.25" customWidth="1"/>
    <col min="11" max="11" width="11.625" customWidth="1"/>
  </cols>
  <sheetData>
    <row r="1" spans="1:11" ht="15">
      <c r="A1" s="1" t="s">
        <v>548</v>
      </c>
      <c r="B1" s="1" t="s">
        <v>10</v>
      </c>
      <c r="C1" s="1" t="s">
        <v>11</v>
      </c>
      <c r="E1" s="1" t="s">
        <v>3</v>
      </c>
      <c r="F1" s="1" t="s">
        <v>10</v>
      </c>
      <c r="G1" s="1" t="s">
        <v>11</v>
      </c>
      <c r="I1" s="1" t="s">
        <v>2</v>
      </c>
      <c r="J1" s="1" t="s">
        <v>10</v>
      </c>
      <c r="K1" s="1" t="s">
        <v>11</v>
      </c>
    </row>
    <row r="2" spans="1:11">
      <c r="A2" s="6">
        <v>46023</v>
      </c>
      <c r="B2" s="7">
        <f>SUMIFS(Data!$K$2:$K$501,Data!$B$2:$B$501,"&gt;="&amp;A2,Data!$B$2:$B$501,"&lt;"&amp;A3)</f>
        <v>91909.092500000028</v>
      </c>
      <c r="C2" s="7">
        <f>SUMIFS(Data!$L$2:$L$501,Data!$B$2:$B$501,"&gt;="&amp;A2,Data!$B$2:$B$501,"&lt;"&amp;A3)</f>
        <v>27950.532499999987</v>
      </c>
      <c r="E2" t="s">
        <v>20</v>
      </c>
      <c r="F2" s="7">
        <f>SUMIFS(Data!$K$2:$K$501,Data!$D$2:$D$501,E2)</f>
        <v>241046.04899999997</v>
      </c>
      <c r="G2" s="7">
        <f>SUMIFS(Data!$L$2:$L$501,Data!$D$2:$D$501,E2)</f>
        <v>67199.958999999973</v>
      </c>
      <c r="I2" t="s">
        <v>14</v>
      </c>
      <c r="J2" s="7">
        <f>SUMIFS(Data!$K$2:$K$501,Data!$C$2:$C$501,I2)</f>
        <v>201858.73150000002</v>
      </c>
      <c r="K2" s="7">
        <f>SUMIFS(Data!$L$2:$L$501,Data!$C$2:$C$501,I2)</f>
        <v>65599.451500000025</v>
      </c>
    </row>
    <row r="3" spans="1:11">
      <c r="A3" s="6">
        <v>46054</v>
      </c>
      <c r="B3" s="7">
        <f>SUMIFS(Data!$K$2:$K$501,Data!$B$2:$B$501,"&gt;="&amp;A3,Data!$B$2:$B$501,"&lt;"&amp;A4)</f>
        <v>37370.415499999988</v>
      </c>
      <c r="C3" s="7">
        <f>SUMIFS(Data!$L$2:$L$501,Data!$B$2:$B$501,"&gt;="&amp;A3,Data!$B$2:$B$501,"&lt;"&amp;A4)</f>
        <v>14372.0155</v>
      </c>
      <c r="E3" t="s">
        <v>39</v>
      </c>
      <c r="F3" s="7">
        <f>SUMIFS(Data!$K$2:$K$501,Data!$D$2:$D$501,E3)</f>
        <v>116778.81700000002</v>
      </c>
      <c r="G3" s="7">
        <f>SUMIFS(Data!$L$2:$L$501,Data!$D$2:$D$501,E3)</f>
        <v>41662.756999999991</v>
      </c>
      <c r="I3" t="s">
        <v>27</v>
      </c>
      <c r="J3" s="7">
        <f>SUMIFS(Data!$K$2:$K$501,Data!$C$2:$C$501,I3)</f>
        <v>81240.724000000031</v>
      </c>
      <c r="K3" s="7">
        <f>SUMIFS(Data!$L$2:$L$501,Data!$C$2:$C$501,I3)</f>
        <v>29553.003999999997</v>
      </c>
    </row>
    <row r="4" spans="1:11">
      <c r="A4" s="6">
        <v>46082</v>
      </c>
      <c r="B4" s="7">
        <f>SUMIFS(Data!$K$2:$K$501,Data!$B$2:$B$501,"&gt;="&amp;A4,Data!$B$2:$B$501,"&lt;"&amp;A5)</f>
        <v>60067.707000000017</v>
      </c>
      <c r="C4" s="7">
        <f>SUMIFS(Data!$L$2:$L$501,Data!$B$2:$B$501,"&gt;="&amp;A4,Data!$B$2:$B$501,"&lt;"&amp;A5)</f>
        <v>19514.017000000007</v>
      </c>
      <c r="E4" t="s">
        <v>15</v>
      </c>
      <c r="F4" s="7">
        <f>SUMIFS(Data!$K$2:$K$501,Data!$D$2:$D$501,E4)</f>
        <v>46822.763500000001</v>
      </c>
      <c r="G4" s="7">
        <f>SUMIFS(Data!$L$2:$L$501,Data!$D$2:$D$501,E4)</f>
        <v>22483.4935</v>
      </c>
      <c r="I4" t="s">
        <v>19</v>
      </c>
      <c r="J4" s="7">
        <f>SUMIFS(Data!$K$2:$K$501,Data!$C$2:$C$501,I4)</f>
        <v>86070.775000000038</v>
      </c>
      <c r="K4" s="7">
        <f>SUMIFS(Data!$L$2:$L$501,Data!$C$2:$C$501,I4)</f>
        <v>27336.715000000007</v>
      </c>
    </row>
    <row r="5" spans="1:11">
      <c r="A5" s="6">
        <v>46113</v>
      </c>
      <c r="B5" s="7">
        <f>SUMIFS(Data!$K$2:$K$501,Data!$B$2:$B$501,"&gt;="&amp;A5,Data!$B$2:$B$501,"&lt;"&amp;A6)</f>
        <v>56070.830500000004</v>
      </c>
      <c r="C5" s="7">
        <f>SUMIFS(Data!$L$2:$L$501,Data!$B$2:$B$501,"&gt;="&amp;A5,Data!$B$2:$B$501,"&lt;"&amp;A6)</f>
        <v>19377.930499999999</v>
      </c>
      <c r="E5" t="s">
        <v>24</v>
      </c>
      <c r="F5" s="7">
        <f>SUMIFS(Data!$K$2:$K$501,Data!$D$2:$D$501,E5)</f>
        <v>64054.888499999979</v>
      </c>
      <c r="G5" s="7">
        <f>SUMIFS(Data!$L$2:$L$501,Data!$D$2:$D$501,E5)</f>
        <v>24953.758499999993</v>
      </c>
      <c r="I5" t="s">
        <v>30</v>
      </c>
      <c r="J5" s="7">
        <f>SUMIFS(Data!$K$2:$K$501,Data!$C$2:$C$501,I5)</f>
        <v>56825.175499999998</v>
      </c>
      <c r="K5" s="7">
        <f>SUMIFS(Data!$L$2:$L$501,Data!$C$2:$C$501,I5)</f>
        <v>18643.075500000003</v>
      </c>
    </row>
    <row r="6" spans="1:11">
      <c r="A6" s="6">
        <v>46143</v>
      </c>
      <c r="B6" s="7">
        <f>SUMIFS(Data!$K$2:$K$501,Data!$B$2:$B$501,"&gt;="&amp;A6,Data!$B$2:$B$501,"&lt;"&amp;A7)</f>
        <v>38260.51249999999</v>
      </c>
      <c r="C6" s="7">
        <f>SUMIFS(Data!$L$2:$L$501,Data!$B$2:$B$501,"&gt;="&amp;A6,Data!$B$2:$B$501,"&lt;"&amp;A7)</f>
        <v>13247.3225</v>
      </c>
      <c r="I6" t="s">
        <v>60</v>
      </c>
      <c r="J6" s="7">
        <f>SUMIFS(Data!$K$2:$K$501,Data!$C$2:$C$501,I6)</f>
        <v>42707.111999999986</v>
      </c>
      <c r="K6" s="7">
        <f>SUMIFS(Data!$L$2:$L$501,Data!$C$2:$C$501,I6)</f>
        <v>15167.721999999996</v>
      </c>
    </row>
    <row r="7" spans="1:11">
      <c r="A7" s="6">
        <v>46174</v>
      </c>
      <c r="B7" s="7">
        <f>SUMIFS(Data!$K$2:$K$501,Data!$B$2:$B$501,"&gt;="&amp;A7,Data!$B$2:$B$501,"&lt;"&amp;A8)</f>
        <v>54774.684999999983</v>
      </c>
      <c r="C7" s="7">
        <f>SUMIFS(Data!$L$2:$L$501,Data!$B$2:$B$501,"&gt;="&amp;A7,Data!$B$2:$B$501,"&lt;"&amp;A8)</f>
        <v>18706.284999999996</v>
      </c>
    </row>
    <row r="8" spans="1:11">
      <c r="A8" s="6">
        <v>46204</v>
      </c>
      <c r="B8" s="7">
        <f>SUMIFS(Data!$K$2:$K$501,Data!$B$2:$B$501,"&gt;="&amp;A8,Data!$B$2:$B$501,"&lt;"&amp;A9)</f>
        <v>61062.387499999997</v>
      </c>
      <c r="C8" s="7">
        <f>SUMIFS(Data!$L$2:$L$501,Data!$B$2:$B$501,"&gt;="&amp;A8,Data!$B$2:$B$501,"&lt;"&amp;A9)</f>
        <v>19373.597499999996</v>
      </c>
    </row>
    <row r="9" spans="1:11">
      <c r="A9" s="6">
        <v>46235</v>
      </c>
      <c r="B9" s="7">
        <f>SUMIFS(Data!$K$2:$K$501,Data!$B$2:$B$501,"&gt;="&amp;A9,Data!$B$2:$B$501,"&lt;"&amp;DATE(2026,9,1))</f>
        <v>69186.887499999997</v>
      </c>
      <c r="C9" s="7">
        <f>SUMIFS(Data!$L$2:$L$501,Data!$B$2:$B$501,"&gt;="&amp;A9,Data!$B$2:$B$501,"&lt;"&amp;DATE(2026,9,1))</f>
        <v>23758.267499999987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Data</vt:lpstr>
      <vt:lpstr>Dashboard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BARBARA SOARES</cp:lastModifiedBy>
  <dcterms:modified xsi:type="dcterms:W3CDTF">2026-09-24T14:58:29Z</dcterms:modified>
</cp:coreProperties>
</file>